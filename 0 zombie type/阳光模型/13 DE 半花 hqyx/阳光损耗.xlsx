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花崎桜雪\Desktop\"/>
    </mc:Choice>
  </mc:AlternateContent>
  <xr:revisionPtr revIDLastSave="0" documentId="13_ncr:1_{4CBDC33A-B827-4B32-9659-28E254F3E7A8}" xr6:coauthVersionLast="47" xr6:coauthVersionMax="47" xr10:uidLastSave="{00000000-0000-0000-0000-000000000000}"/>
  <bookViews>
    <workbookView xWindow="1890" yWindow="2250" windowWidth="13200" windowHeight="11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1" i="1" l="1"/>
  <c r="B270" i="1" s="1"/>
  <c r="B236" i="1" a="1"/>
  <c r="B236" i="1" s="1"/>
  <c r="A237" i="1" a="1"/>
  <c r="A237" i="1" s="1"/>
  <c r="F230" i="1"/>
  <c r="B229" i="1"/>
  <c r="F229" i="1" s="1"/>
  <c r="H229" i="1" s="1"/>
  <c r="K234" i="1"/>
  <c r="AG233" i="1"/>
  <c r="AG234" i="1" s="1"/>
  <c r="AF233" i="1"/>
  <c r="AF234" i="1" s="1"/>
  <c r="AE233" i="1"/>
  <c r="AE234" i="1" s="1"/>
  <c r="AD233" i="1"/>
  <c r="AD234" i="1" s="1"/>
  <c r="AC233" i="1"/>
  <c r="AC234" i="1" s="1"/>
  <c r="AB233" i="1"/>
  <c r="AB234" i="1" s="1"/>
  <c r="AA233" i="1"/>
  <c r="AA234" i="1" s="1"/>
  <c r="Z233" i="1"/>
  <c r="Z234" i="1" s="1"/>
  <c r="Y233" i="1"/>
  <c r="Y234" i="1" s="1"/>
  <c r="X233" i="1"/>
  <c r="X234" i="1" s="1"/>
  <c r="W233" i="1"/>
  <c r="W234" i="1" s="1"/>
  <c r="V233" i="1"/>
  <c r="V234" i="1" s="1"/>
  <c r="U233" i="1"/>
  <c r="U234" i="1" s="1"/>
  <c r="T233" i="1"/>
  <c r="T234" i="1" s="1"/>
  <c r="S233" i="1"/>
  <c r="S234" i="1" s="1"/>
  <c r="R233" i="1"/>
  <c r="R234" i="1" s="1"/>
  <c r="Q233" i="1"/>
  <c r="Q234" i="1" s="1"/>
  <c r="P233" i="1"/>
  <c r="P234" i="1" s="1"/>
  <c r="O233" i="1"/>
  <c r="O234" i="1" s="1"/>
  <c r="N233" i="1"/>
  <c r="N234" i="1" s="1"/>
  <c r="M233" i="1"/>
  <c r="M234" i="1" s="1"/>
  <c r="L233" i="1"/>
  <c r="L234" i="1" s="1"/>
  <c r="K233" i="1"/>
  <c r="J233" i="1"/>
  <c r="J234" i="1" s="1"/>
  <c r="I233" i="1"/>
  <c r="I234" i="1" s="1"/>
  <c r="H233" i="1"/>
  <c r="H234" i="1" s="1"/>
  <c r="G233" i="1"/>
  <c r="G234" i="1" s="1"/>
  <c r="F233" i="1"/>
  <c r="F234" i="1" s="1"/>
  <c r="E233" i="1"/>
  <c r="E234" i="1" s="1"/>
  <c r="D233" i="1"/>
  <c r="D234" i="1" s="1"/>
  <c r="C233" i="1"/>
  <c r="C234" i="1" s="1"/>
  <c r="B233" i="1"/>
  <c r="B234" i="1" s="1"/>
  <c r="A188" i="1" a="1"/>
  <c r="A188" i="1" s="1"/>
  <c r="B180" i="1"/>
  <c r="F180" i="1" s="1"/>
  <c r="H180" i="1" s="1"/>
  <c r="AG184" i="1"/>
  <c r="AG185" i="1" s="1"/>
  <c r="AF184" i="1"/>
  <c r="AF185" i="1" s="1"/>
  <c r="AE184" i="1"/>
  <c r="AE185" i="1" s="1"/>
  <c r="AD184" i="1"/>
  <c r="AD185" i="1" s="1"/>
  <c r="AC184" i="1"/>
  <c r="AC185" i="1" s="1"/>
  <c r="AB184" i="1"/>
  <c r="AB185" i="1" s="1"/>
  <c r="AA184" i="1"/>
  <c r="AA185" i="1" s="1"/>
  <c r="Z184" i="1"/>
  <c r="Z185" i="1" s="1"/>
  <c r="Y184" i="1"/>
  <c r="Y185" i="1" s="1"/>
  <c r="X184" i="1"/>
  <c r="X185" i="1" s="1"/>
  <c r="W184" i="1"/>
  <c r="W185" i="1" s="1"/>
  <c r="V184" i="1"/>
  <c r="V185" i="1" s="1"/>
  <c r="U184" i="1"/>
  <c r="U185" i="1" s="1"/>
  <c r="T184" i="1"/>
  <c r="T185" i="1" s="1"/>
  <c r="S184" i="1"/>
  <c r="S185" i="1" s="1"/>
  <c r="R184" i="1"/>
  <c r="R185" i="1" s="1"/>
  <c r="Q184" i="1"/>
  <c r="Q185" i="1" s="1"/>
  <c r="P184" i="1"/>
  <c r="P185" i="1" s="1"/>
  <c r="O184" i="1"/>
  <c r="O185" i="1" s="1"/>
  <c r="N184" i="1"/>
  <c r="N185" i="1" s="1"/>
  <c r="M184" i="1"/>
  <c r="M185" i="1" s="1"/>
  <c r="L184" i="1"/>
  <c r="L185" i="1" s="1"/>
  <c r="K184" i="1"/>
  <c r="K185" i="1" s="1"/>
  <c r="J184" i="1"/>
  <c r="J185" i="1" s="1"/>
  <c r="I184" i="1"/>
  <c r="I185" i="1" s="1"/>
  <c r="H184" i="1"/>
  <c r="H185" i="1" s="1"/>
  <c r="G184" i="1"/>
  <c r="G185" i="1" s="1"/>
  <c r="F184" i="1"/>
  <c r="F185" i="1" s="1"/>
  <c r="E184" i="1"/>
  <c r="E185" i="1" s="1"/>
  <c r="D184" i="1"/>
  <c r="D185" i="1" s="1"/>
  <c r="C184" i="1"/>
  <c r="C185" i="1" s="1"/>
  <c r="B184" i="1"/>
  <c r="B185" i="1" s="1"/>
  <c r="B188" i="1" s="1" a="1"/>
  <c r="B188" i="1" s="1"/>
  <c r="F181" i="1"/>
  <c r="B181" i="1"/>
  <c r="A139" i="1" a="1"/>
  <c r="A139" i="1" s="1"/>
  <c r="B132" i="1"/>
  <c r="B131" i="1"/>
  <c r="B182" i="1" l="1"/>
  <c r="B222" i="1" s="1"/>
  <c r="AG135" i="1"/>
  <c r="AG136" i="1" s="1"/>
  <c r="AF135" i="1"/>
  <c r="AF136" i="1" s="1"/>
  <c r="AE135" i="1"/>
  <c r="AE136" i="1" s="1"/>
  <c r="AD135" i="1"/>
  <c r="AD136" i="1" s="1"/>
  <c r="AC135" i="1"/>
  <c r="AC136" i="1" s="1"/>
  <c r="AB135" i="1"/>
  <c r="AB136" i="1" s="1"/>
  <c r="AA135" i="1"/>
  <c r="AA136" i="1" s="1"/>
  <c r="Z135" i="1"/>
  <c r="Z136" i="1" s="1"/>
  <c r="Y135" i="1"/>
  <c r="Y136" i="1" s="1"/>
  <c r="X135" i="1"/>
  <c r="X136" i="1" s="1"/>
  <c r="W135" i="1"/>
  <c r="W136" i="1" s="1"/>
  <c r="V135" i="1"/>
  <c r="V136" i="1" s="1"/>
  <c r="U135" i="1"/>
  <c r="U136" i="1" s="1"/>
  <c r="T135" i="1"/>
  <c r="T136" i="1" s="1"/>
  <c r="S135" i="1"/>
  <c r="S136" i="1" s="1"/>
  <c r="R135" i="1"/>
  <c r="R136" i="1" s="1"/>
  <c r="Q135" i="1"/>
  <c r="Q136" i="1" s="1"/>
  <c r="P135" i="1"/>
  <c r="P136" i="1" s="1"/>
  <c r="O135" i="1"/>
  <c r="O136" i="1" s="1"/>
  <c r="N135" i="1"/>
  <c r="N136" i="1" s="1"/>
  <c r="M135" i="1"/>
  <c r="M136" i="1" s="1"/>
  <c r="L135" i="1"/>
  <c r="L136" i="1" s="1"/>
  <c r="K135" i="1"/>
  <c r="K136" i="1" s="1"/>
  <c r="J135" i="1"/>
  <c r="J136" i="1" s="1"/>
  <c r="I135" i="1"/>
  <c r="I136" i="1" s="1"/>
  <c r="H135" i="1"/>
  <c r="H136" i="1" s="1"/>
  <c r="G135" i="1"/>
  <c r="G136" i="1" s="1"/>
  <c r="F135" i="1"/>
  <c r="F136" i="1" s="1"/>
  <c r="E135" i="1"/>
  <c r="E136" i="1" s="1"/>
  <c r="D135" i="1"/>
  <c r="D136" i="1" s="1"/>
  <c r="C135" i="1"/>
  <c r="C136" i="1" s="1"/>
  <c r="B135" i="1"/>
  <c r="B136" i="1" s="1"/>
  <c r="F132" i="1"/>
  <c r="F131" i="1"/>
  <c r="H131" i="1" s="1"/>
  <c r="B133" i="1" s="1"/>
  <c r="B172" i="1" s="1"/>
  <c r="B80" i="1"/>
  <c r="A87" i="1" a="1"/>
  <c r="A87" i="1" s="1"/>
  <c r="F80" i="1"/>
  <c r="B79" i="1"/>
  <c r="AG83" i="1"/>
  <c r="AG84" i="1" s="1"/>
  <c r="AF83" i="1"/>
  <c r="AF84" i="1" s="1"/>
  <c r="AE83" i="1"/>
  <c r="AE84" i="1" s="1"/>
  <c r="AD83" i="1"/>
  <c r="AD84" i="1" s="1"/>
  <c r="AC83" i="1"/>
  <c r="AC84" i="1" s="1"/>
  <c r="AB83" i="1"/>
  <c r="AB84" i="1" s="1"/>
  <c r="AA83" i="1"/>
  <c r="AA84" i="1" s="1"/>
  <c r="Z83" i="1"/>
  <c r="Z84" i="1" s="1"/>
  <c r="Y83" i="1"/>
  <c r="Y84" i="1" s="1"/>
  <c r="X83" i="1"/>
  <c r="X84" i="1" s="1"/>
  <c r="W83" i="1"/>
  <c r="W84" i="1" s="1"/>
  <c r="V83" i="1"/>
  <c r="V84" i="1" s="1"/>
  <c r="U83" i="1"/>
  <c r="U84" i="1" s="1"/>
  <c r="T83" i="1"/>
  <c r="T84" i="1" s="1"/>
  <c r="S83" i="1"/>
  <c r="S84" i="1" s="1"/>
  <c r="R83" i="1"/>
  <c r="R84" i="1" s="1"/>
  <c r="Q83" i="1"/>
  <c r="Q84" i="1" s="1"/>
  <c r="P83" i="1"/>
  <c r="P84" i="1" s="1"/>
  <c r="O83" i="1"/>
  <c r="O84" i="1" s="1"/>
  <c r="N83" i="1"/>
  <c r="N84" i="1" s="1"/>
  <c r="M83" i="1"/>
  <c r="M84" i="1" s="1"/>
  <c r="L83" i="1"/>
  <c r="L84" i="1" s="1"/>
  <c r="K83" i="1"/>
  <c r="K84" i="1" s="1"/>
  <c r="J83" i="1"/>
  <c r="J84" i="1" s="1"/>
  <c r="I83" i="1"/>
  <c r="I84" i="1" s="1"/>
  <c r="H83" i="1"/>
  <c r="H84" i="1" s="1"/>
  <c r="G83" i="1"/>
  <c r="G84" i="1" s="1"/>
  <c r="F83" i="1"/>
  <c r="F84" i="1" s="1"/>
  <c r="E83" i="1"/>
  <c r="E84" i="1" s="1"/>
  <c r="D83" i="1"/>
  <c r="D84" i="1" s="1"/>
  <c r="C83" i="1"/>
  <c r="C84" i="1" s="1"/>
  <c r="B83" i="1"/>
  <c r="B84" i="1" s="1"/>
  <c r="A31" i="1" a="1"/>
  <c r="A31" i="1" s="1"/>
  <c r="B23" i="1"/>
  <c r="D22" i="1"/>
  <c r="B22" i="1"/>
  <c r="F23" i="1"/>
  <c r="B26" i="1"/>
  <c r="B27" i="1" s="1"/>
  <c r="AG26" i="1"/>
  <c r="AG27" i="1" s="1"/>
  <c r="AF26" i="1"/>
  <c r="AF27" i="1" s="1"/>
  <c r="AE26" i="1"/>
  <c r="AE27" i="1" s="1"/>
  <c r="AD26" i="1"/>
  <c r="AD27" i="1" s="1"/>
  <c r="AC26" i="1"/>
  <c r="AC27" i="1" s="1"/>
  <c r="AB26" i="1"/>
  <c r="AB27" i="1" s="1"/>
  <c r="AA26" i="1"/>
  <c r="AA27" i="1" s="1"/>
  <c r="Z26" i="1"/>
  <c r="Z27" i="1" s="1"/>
  <c r="Y26" i="1"/>
  <c r="Y27" i="1" s="1"/>
  <c r="X26" i="1"/>
  <c r="X27" i="1" s="1"/>
  <c r="W26" i="1"/>
  <c r="W27" i="1" s="1"/>
  <c r="V26" i="1"/>
  <c r="V27" i="1" s="1"/>
  <c r="U26" i="1"/>
  <c r="U27" i="1" s="1"/>
  <c r="T26" i="1"/>
  <c r="T27" i="1" s="1"/>
  <c r="S26" i="1"/>
  <c r="S27" i="1" s="1"/>
  <c r="R26" i="1"/>
  <c r="R27" i="1" s="1"/>
  <c r="Q26" i="1"/>
  <c r="Q27" i="1" s="1"/>
  <c r="P26" i="1"/>
  <c r="P27" i="1" s="1"/>
  <c r="O26" i="1"/>
  <c r="O27" i="1" s="1"/>
  <c r="N26" i="1"/>
  <c r="N27" i="1" s="1"/>
  <c r="M26" i="1"/>
  <c r="M27" i="1" s="1"/>
  <c r="L26" i="1"/>
  <c r="L27" i="1" s="1"/>
  <c r="K26" i="1"/>
  <c r="K27" i="1" s="1"/>
  <c r="J26" i="1"/>
  <c r="J27" i="1" s="1"/>
  <c r="I26" i="1"/>
  <c r="I27" i="1" s="1"/>
  <c r="H26" i="1"/>
  <c r="H27" i="1" s="1"/>
  <c r="G26" i="1"/>
  <c r="G27" i="1" s="1"/>
  <c r="F26" i="1"/>
  <c r="F27" i="1" s="1"/>
  <c r="E26" i="1"/>
  <c r="E27" i="1" s="1"/>
  <c r="D26" i="1"/>
  <c r="D27" i="1" s="1"/>
  <c r="C26" i="1"/>
  <c r="C27" i="1" s="1"/>
  <c r="B10" i="1"/>
  <c r="D13" i="1"/>
  <c r="D14" i="1" s="1"/>
  <c r="E13" i="1"/>
  <c r="E14" i="1" s="1"/>
  <c r="F13" i="1"/>
  <c r="F14" i="1" s="1"/>
  <c r="G13" i="1"/>
  <c r="G14" i="1" s="1"/>
  <c r="H13" i="1"/>
  <c r="H14" i="1" s="1"/>
  <c r="I13" i="1"/>
  <c r="I14" i="1" s="1"/>
  <c r="J13" i="1"/>
  <c r="J14" i="1" s="1"/>
  <c r="K13" i="1"/>
  <c r="K14" i="1" s="1"/>
  <c r="L13" i="1"/>
  <c r="L14" i="1" s="1"/>
  <c r="M13" i="1"/>
  <c r="M14" i="1" s="1"/>
  <c r="N13" i="1"/>
  <c r="N14" i="1" s="1"/>
  <c r="O13" i="1"/>
  <c r="O14" i="1" s="1"/>
  <c r="P13" i="1"/>
  <c r="P14" i="1" s="1"/>
  <c r="Q13" i="1"/>
  <c r="Q14" i="1" s="1"/>
  <c r="R13" i="1"/>
  <c r="R14" i="1" s="1"/>
  <c r="S13" i="1"/>
  <c r="S14" i="1" s="1"/>
  <c r="T13" i="1"/>
  <c r="T14" i="1" s="1"/>
  <c r="U13" i="1"/>
  <c r="U14" i="1" s="1"/>
  <c r="V13" i="1"/>
  <c r="V14" i="1" s="1"/>
  <c r="W13" i="1"/>
  <c r="W14" i="1" s="1"/>
  <c r="X13" i="1"/>
  <c r="X14" i="1" s="1"/>
  <c r="Y13" i="1"/>
  <c r="Y14" i="1" s="1"/>
  <c r="Z13" i="1"/>
  <c r="Z14" i="1" s="1"/>
  <c r="AA13" i="1"/>
  <c r="AA14" i="1" s="1"/>
  <c r="AB13" i="1"/>
  <c r="AB14" i="1" s="1"/>
  <c r="AC13" i="1"/>
  <c r="AC14" i="1" s="1"/>
  <c r="AD13" i="1"/>
  <c r="AD14" i="1" s="1"/>
  <c r="AE13" i="1"/>
  <c r="AE14" i="1" s="1"/>
  <c r="AF13" i="1"/>
  <c r="AF14" i="1" s="1"/>
  <c r="AG13" i="1"/>
  <c r="AG14" i="1" s="1"/>
  <c r="C13" i="1"/>
  <c r="C14" i="1" s="1"/>
  <c r="B13" i="1"/>
  <c r="B14" i="1" s="1"/>
  <c r="F10" i="1"/>
  <c r="D9" i="1"/>
  <c r="B9" i="1"/>
  <c r="B139" i="1" l="1" a="1"/>
  <c r="B139" i="1" s="1"/>
  <c r="B87" i="1" a="1"/>
  <c r="B87" i="1" s="1"/>
  <c r="B31" i="1" a="1"/>
  <c r="B31" i="1" s="1"/>
  <c r="D31" i="1" a="1"/>
  <c r="D31" i="1" s="1"/>
  <c r="F79" i="1"/>
  <c r="H79" i="1" s="1"/>
  <c r="B81" i="1" s="1"/>
  <c r="B120" i="1" s="1"/>
  <c r="F22" i="1"/>
  <c r="H22" i="1" s="1"/>
  <c r="B24" i="1" s="1"/>
  <c r="D63" i="1" s="1"/>
  <c r="F9" i="1"/>
  <c r="H9" i="1" s="1"/>
  <c r="B11" i="1" s="1"/>
  <c r="B6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<sst xmlns="http://schemas.openxmlformats.org/spreadsheetml/2006/main" count="298" uniqueCount="58">
  <si>
    <t>2000-2002</t>
    <phoneticPr fontId="1" type="noConversion"/>
  </si>
  <si>
    <t>2002-2004</t>
    <phoneticPr fontId="1" type="noConversion"/>
  </si>
  <si>
    <t>2004-2006</t>
    <phoneticPr fontId="1" type="noConversion"/>
  </si>
  <si>
    <t>2006-2008</t>
    <phoneticPr fontId="1" type="noConversion"/>
  </si>
  <si>
    <t>2008-2010</t>
    <phoneticPr fontId="1" type="noConversion"/>
  </si>
  <si>
    <t>2010-2012</t>
    <phoneticPr fontId="1" type="noConversion"/>
  </si>
  <si>
    <t>2012-2014</t>
    <phoneticPr fontId="1" type="noConversion"/>
  </si>
  <si>
    <t>2014-2016</t>
    <phoneticPr fontId="1" type="noConversion"/>
  </si>
  <si>
    <t>2016-2018</t>
    <phoneticPr fontId="1" type="noConversion"/>
  </si>
  <si>
    <t>2018-2020</t>
    <phoneticPr fontId="1" type="noConversion"/>
  </si>
  <si>
    <t>2020-2022</t>
    <phoneticPr fontId="1" type="noConversion"/>
  </si>
  <si>
    <t>2022-2024</t>
    <phoneticPr fontId="1" type="noConversion"/>
  </si>
  <si>
    <t>2024-2026</t>
    <phoneticPr fontId="1" type="noConversion"/>
  </si>
  <si>
    <t>2026-2028</t>
    <phoneticPr fontId="1" type="noConversion"/>
  </si>
  <si>
    <t>2028-2030</t>
    <phoneticPr fontId="1" type="noConversion"/>
  </si>
  <si>
    <t>2030-2032</t>
    <phoneticPr fontId="1" type="noConversion"/>
  </si>
  <si>
    <t>813F1A7C</t>
    <phoneticPr fontId="1" type="noConversion"/>
  </si>
  <si>
    <t>开始</t>
    <phoneticPr fontId="1" type="noConversion"/>
  </si>
  <si>
    <t>结束</t>
    <phoneticPr fontId="1" type="noConversion"/>
  </si>
  <si>
    <t>本关使用仙人掌</t>
    <phoneticPr fontId="1" type="noConversion"/>
  </si>
  <si>
    <t>啃食墓碑</t>
    <phoneticPr fontId="1" type="noConversion"/>
  </si>
  <si>
    <t>裂夹</t>
    <phoneticPr fontId="1" type="noConversion"/>
  </si>
  <si>
    <t>#45447EC9</t>
    <phoneticPr fontId="1" type="noConversion"/>
  </si>
  <si>
    <t>#11FC17F8</t>
    <phoneticPr fontId="1" type="noConversion"/>
  </si>
  <si>
    <t>#00A6A695</t>
    <phoneticPr fontId="1" type="noConversion"/>
  </si>
  <si>
    <t>#070C2E02</t>
    <phoneticPr fontId="1" type="noConversion"/>
  </si>
  <si>
    <t>底线南瓜</t>
    <phoneticPr fontId="1" type="noConversion"/>
  </si>
  <si>
    <t>结束南瓜血</t>
    <phoneticPr fontId="1" type="noConversion"/>
  </si>
  <si>
    <t>起始</t>
    <phoneticPr fontId="1" type="noConversion"/>
  </si>
  <si>
    <t xml:space="preserve"> 差值</t>
    <phoneticPr fontId="1" type="noConversion"/>
  </si>
  <si>
    <t>阳光差值</t>
    <phoneticPr fontId="1" type="noConversion"/>
  </si>
  <si>
    <t>总南瓜数量</t>
    <phoneticPr fontId="1" type="noConversion"/>
  </si>
  <si>
    <t>曾损</t>
    <phoneticPr fontId="1" type="noConversion"/>
  </si>
  <si>
    <t>44hp</t>
    <phoneticPr fontId="1" type="noConversion"/>
  </si>
  <si>
    <t>曾损阳光</t>
    <phoneticPr fontId="1" type="noConversion"/>
  </si>
  <si>
    <t>裂荚仙人掌</t>
    <phoneticPr fontId="1" type="noConversion"/>
  </si>
  <si>
    <t>总共8</t>
    <phoneticPr fontId="1" type="noConversion"/>
  </si>
  <si>
    <t>平摊总阳光</t>
    <phoneticPr fontId="1" type="noConversion"/>
  </si>
  <si>
    <t>阳光损耗Y</t>
    <phoneticPr fontId="1" type="noConversion"/>
  </si>
  <si>
    <t>Y .adj</t>
    <phoneticPr fontId="1" type="noConversion"/>
  </si>
  <si>
    <t>第二次尝试</t>
    <phoneticPr fontId="1" type="noConversion"/>
  </si>
  <si>
    <t>南瓜+裂荚+仙人掌</t>
    <phoneticPr fontId="1" type="noConversion"/>
  </si>
  <si>
    <t>喷损</t>
    <phoneticPr fontId="1" type="noConversion"/>
  </si>
  <si>
    <t>Y.adj</t>
    <phoneticPr fontId="1" type="noConversion"/>
  </si>
  <si>
    <t>第一次</t>
    <phoneticPr fontId="1" type="noConversion"/>
  </si>
  <si>
    <t>第二次</t>
    <phoneticPr fontId="1" type="noConversion"/>
  </si>
  <si>
    <t>总平摊损耗</t>
    <phoneticPr fontId="1" type="noConversion"/>
  </si>
  <si>
    <t>NE单花无仙人掌</t>
    <phoneticPr fontId="1" type="noConversion"/>
  </si>
  <si>
    <t>冰杀蹦极</t>
    <phoneticPr fontId="1" type="noConversion"/>
  </si>
  <si>
    <t>南瓜阳光</t>
    <phoneticPr fontId="1" type="noConversion"/>
  </si>
  <si>
    <t>南瓜数量</t>
    <phoneticPr fontId="1" type="noConversion"/>
  </si>
  <si>
    <t>Y. adj</t>
    <phoneticPr fontId="1" type="noConversion"/>
  </si>
  <si>
    <t>平摊阳光</t>
    <phoneticPr fontId="1" type="noConversion"/>
  </si>
  <si>
    <t>NE58 2花</t>
    <phoneticPr fontId="1" type="noConversion"/>
  </si>
  <si>
    <t>Y adj</t>
    <phoneticPr fontId="1" type="noConversion"/>
  </si>
  <si>
    <t>N6E 68 1.5花 #不偷花</t>
    <phoneticPr fontId="1" type="noConversion"/>
  </si>
  <si>
    <t>DE 0.5</t>
    <phoneticPr fontId="1" type="noConversion"/>
  </si>
  <si>
    <t>平摊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</si>
</sst>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309402</xdr:colOff>
      <xdr:row>187</xdr:row>
      <xdr:rowOff>44823</xdr:rowOff>
    </xdr:from>
    <xdr:to>
      <xdr:col>15</xdr:col>
      <xdr:colOff>443750</xdr:colOff>
      <xdr:row>198</xdr:row>
      <xdr:rowOff>110565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E364D6D-F9C5-943A-023A-0F3C6D2A8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0755" y="33572823"/>
          <a:ext cx="8919760" cy="2037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59764</xdr:colOff>
      <xdr:row>235</xdr:row>
      <xdr:rowOff>160513</xdr:rowOff>
    </xdr:from>
    <xdr:to>
      <xdr:col>14</xdr:col>
      <xdr:colOff>476250</xdr:colOff>
      <xdr:row>246</xdr:row>
      <xdr:rowOff>141568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21B4B7-893B-E6FA-F934-78B55D3BB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1117" y="42294631"/>
          <a:ext cx="8469780" cy="1953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0"/>
  <sheetViews>
    <sheetView tabSelected="1" topLeftCell="A239" zoomScale="85" zoomScaleNormal="85" workbookViewId="0">
      <selection activeCell="B232" sqref="B232"/>
    </sheetView>
  </sheetViews>
  <sheetFormatPr defaultRowHeight="14" x14ac:dyDescent="0.3"/>
  <cols>
    <col min="1" max="1" width="17.9140625" customWidth="1"/>
    <col min="2" max="37" width="9.58203125" customWidth="1"/>
  </cols>
  <sheetData>
    <row r="1" spans="1:3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0</v>
      </c>
      <c r="AE1" t="s">
        <v>1</v>
      </c>
      <c r="AF1" t="s">
        <v>0</v>
      </c>
      <c r="AG1" t="s">
        <v>1</v>
      </c>
    </row>
    <row r="2" spans="1:33" x14ac:dyDescent="0.3">
      <c r="A2" t="s">
        <v>16</v>
      </c>
    </row>
    <row r="3" spans="1:33" x14ac:dyDescent="0.3">
      <c r="A3" t="s">
        <v>19</v>
      </c>
      <c r="H3">
        <v>1</v>
      </c>
      <c r="N3">
        <v>1</v>
      </c>
      <c r="X3">
        <v>1</v>
      </c>
      <c r="AA3">
        <v>1</v>
      </c>
    </row>
    <row r="4" spans="1:33" x14ac:dyDescent="0.3">
      <c r="A4" t="s">
        <v>26</v>
      </c>
      <c r="B4">
        <v>1</v>
      </c>
      <c r="C4">
        <v>4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  <c r="J4">
        <v>3</v>
      </c>
      <c r="K4">
        <v>0</v>
      </c>
      <c r="L4">
        <v>0</v>
      </c>
      <c r="M4">
        <v>1</v>
      </c>
      <c r="N4">
        <v>0</v>
      </c>
      <c r="O4">
        <v>2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0</v>
      </c>
    </row>
    <row r="5" spans="1:33" x14ac:dyDescent="0.3">
      <c r="A5" t="s">
        <v>17</v>
      </c>
      <c r="B5">
        <v>8000</v>
      </c>
    </row>
    <row r="6" spans="1:33" x14ac:dyDescent="0.3">
      <c r="A6" t="s">
        <v>18</v>
      </c>
      <c r="B6">
        <v>7625</v>
      </c>
      <c r="C6">
        <v>7275</v>
      </c>
      <c r="D6">
        <v>6800</v>
      </c>
      <c r="E6">
        <v>6500</v>
      </c>
      <c r="F6">
        <v>7525</v>
      </c>
      <c r="G6">
        <v>7950</v>
      </c>
      <c r="H6">
        <v>8450</v>
      </c>
      <c r="I6">
        <v>8900</v>
      </c>
      <c r="J6">
        <v>8675</v>
      </c>
      <c r="K6">
        <v>8175</v>
      </c>
      <c r="L6">
        <v>9050</v>
      </c>
      <c r="M6">
        <v>9375</v>
      </c>
      <c r="N6">
        <v>9925</v>
      </c>
      <c r="O6">
        <v>9900</v>
      </c>
      <c r="P6">
        <v>10125</v>
      </c>
      <c r="Q6">
        <v>10575</v>
      </c>
      <c r="R6">
        <v>10575</v>
      </c>
      <c r="S6">
        <v>10900</v>
      </c>
      <c r="T6">
        <v>10450</v>
      </c>
      <c r="U6">
        <v>10775</v>
      </c>
      <c r="V6">
        <v>10975</v>
      </c>
      <c r="W6">
        <v>10150</v>
      </c>
      <c r="X6">
        <v>10475</v>
      </c>
      <c r="Y6">
        <v>10725</v>
      </c>
      <c r="Z6">
        <v>10050</v>
      </c>
      <c r="AA6">
        <v>10575</v>
      </c>
      <c r="AB6">
        <v>11475</v>
      </c>
      <c r="AC6">
        <v>11050</v>
      </c>
      <c r="AD6">
        <v>11250</v>
      </c>
      <c r="AE6">
        <v>10750</v>
      </c>
      <c r="AF6">
        <v>10775</v>
      </c>
      <c r="AG6">
        <v>10075</v>
      </c>
    </row>
    <row r="7" spans="1:33" x14ac:dyDescent="0.3">
      <c r="A7" t="s">
        <v>20</v>
      </c>
      <c r="B7">
        <v>0</v>
      </c>
      <c r="C7">
        <v>2</v>
      </c>
      <c r="D7">
        <v>0</v>
      </c>
      <c r="E7">
        <v>2</v>
      </c>
      <c r="F7">
        <v>1</v>
      </c>
      <c r="G7">
        <v>1</v>
      </c>
      <c r="H7">
        <v>1</v>
      </c>
      <c r="I7">
        <v>0</v>
      </c>
      <c r="J7">
        <v>2</v>
      </c>
      <c r="K7">
        <v>0</v>
      </c>
      <c r="L7">
        <v>2</v>
      </c>
      <c r="M7">
        <v>0</v>
      </c>
      <c r="N7">
        <v>2</v>
      </c>
      <c r="O7">
        <v>0</v>
      </c>
      <c r="P7">
        <v>2</v>
      </c>
      <c r="Q7">
        <v>0</v>
      </c>
      <c r="R7">
        <v>2</v>
      </c>
      <c r="S7">
        <v>0</v>
      </c>
      <c r="T7">
        <v>2</v>
      </c>
      <c r="U7">
        <v>1</v>
      </c>
      <c r="V7">
        <v>0</v>
      </c>
      <c r="W7">
        <v>2</v>
      </c>
      <c r="X7">
        <v>1</v>
      </c>
      <c r="Y7">
        <v>0</v>
      </c>
      <c r="Z7">
        <v>2</v>
      </c>
      <c r="AA7">
        <v>1</v>
      </c>
      <c r="AB7">
        <v>1</v>
      </c>
      <c r="AC7">
        <v>0</v>
      </c>
      <c r="AD7">
        <v>2</v>
      </c>
      <c r="AE7">
        <v>1</v>
      </c>
      <c r="AF7">
        <v>1</v>
      </c>
      <c r="AG7">
        <v>0</v>
      </c>
    </row>
    <row r="8" spans="1:33" x14ac:dyDescent="0.3">
      <c r="A8" t="s">
        <v>21</v>
      </c>
      <c r="H8">
        <v>1</v>
      </c>
      <c r="O8">
        <v>1</v>
      </c>
      <c r="AA8">
        <v>1</v>
      </c>
    </row>
    <row r="9" spans="1:33" x14ac:dyDescent="0.3">
      <c r="A9" t="s">
        <v>27</v>
      </c>
      <c r="B9">
        <f>964+1684+1712+1020+2240+3192</f>
        <v>10812</v>
      </c>
      <c r="C9" t="s">
        <v>28</v>
      </c>
      <c r="D9">
        <f>2860+3904+2020+4000+4000+4000</f>
        <v>20784</v>
      </c>
      <c r="E9" t="s">
        <v>29</v>
      </c>
      <c r="F9">
        <f>D9-B9</f>
        <v>9972</v>
      </c>
      <c r="G9" t="s">
        <v>30</v>
      </c>
      <c r="H9">
        <f>F9/4000*125</f>
        <v>311.625</v>
      </c>
      <c r="R9" t="s">
        <v>22</v>
      </c>
      <c r="Y9" t="s">
        <v>23</v>
      </c>
      <c r="AD9" t="s">
        <v>24</v>
      </c>
      <c r="AF9" t="s">
        <v>25</v>
      </c>
    </row>
    <row r="10" spans="1:33" x14ac:dyDescent="0.3">
      <c r="A10" t="s">
        <v>31</v>
      </c>
      <c r="B10">
        <f>SUM(B4:AG4)</f>
        <v>19</v>
      </c>
      <c r="C10" t="s">
        <v>32</v>
      </c>
      <c r="D10" t="s">
        <v>33</v>
      </c>
      <c r="E10" t="s">
        <v>34</v>
      </c>
      <c r="F10">
        <f>44/300*575</f>
        <v>84.333333333333329</v>
      </c>
      <c r="H10" t="s">
        <v>35</v>
      </c>
      <c r="I10" t="s">
        <v>36</v>
      </c>
    </row>
    <row r="11" spans="1:33" x14ac:dyDescent="0.3">
      <c r="A11" t="s">
        <v>37</v>
      </c>
      <c r="B11">
        <f>H9+F10+(B10+8)*125+75</f>
        <v>3845.9583333333335</v>
      </c>
    </row>
    <row r="13" spans="1:33" x14ac:dyDescent="0.3">
      <c r="A13" t="s">
        <v>38</v>
      </c>
      <c r="B13">
        <f>B5-B6</f>
        <v>375</v>
      </c>
      <c r="C13">
        <f>B6-C6</f>
        <v>350</v>
      </c>
      <c r="D13">
        <f t="shared" ref="D13:AG13" si="0">C6-D6</f>
        <v>475</v>
      </c>
      <c r="E13">
        <f t="shared" si="0"/>
        <v>300</v>
      </c>
      <c r="F13">
        <f t="shared" si="0"/>
        <v>-1025</v>
      </c>
      <c r="G13">
        <f t="shared" si="0"/>
        <v>-425</v>
      </c>
      <c r="H13">
        <f t="shared" si="0"/>
        <v>-500</v>
      </c>
      <c r="I13">
        <f t="shared" si="0"/>
        <v>-450</v>
      </c>
      <c r="J13">
        <f t="shared" si="0"/>
        <v>225</v>
      </c>
      <c r="K13">
        <f t="shared" si="0"/>
        <v>500</v>
      </c>
      <c r="L13">
        <f t="shared" si="0"/>
        <v>-875</v>
      </c>
      <c r="M13">
        <f t="shared" si="0"/>
        <v>-325</v>
      </c>
      <c r="N13">
        <f t="shared" si="0"/>
        <v>-550</v>
      </c>
      <c r="O13">
        <f t="shared" si="0"/>
        <v>25</v>
      </c>
      <c r="P13">
        <f t="shared" si="0"/>
        <v>-225</v>
      </c>
      <c r="Q13">
        <f t="shared" si="0"/>
        <v>-450</v>
      </c>
      <c r="R13">
        <f t="shared" si="0"/>
        <v>0</v>
      </c>
      <c r="S13">
        <f t="shared" si="0"/>
        <v>-325</v>
      </c>
      <c r="T13">
        <f t="shared" si="0"/>
        <v>450</v>
      </c>
      <c r="U13">
        <f t="shared" si="0"/>
        <v>-325</v>
      </c>
      <c r="V13">
        <f t="shared" si="0"/>
        <v>-200</v>
      </c>
      <c r="W13">
        <f t="shared" si="0"/>
        <v>825</v>
      </c>
      <c r="X13">
        <f t="shared" si="0"/>
        <v>-325</v>
      </c>
      <c r="Y13">
        <f t="shared" si="0"/>
        <v>-250</v>
      </c>
      <c r="Z13">
        <f t="shared" si="0"/>
        <v>675</v>
      </c>
      <c r="AA13">
        <f t="shared" si="0"/>
        <v>-525</v>
      </c>
      <c r="AB13">
        <f t="shared" si="0"/>
        <v>-900</v>
      </c>
      <c r="AC13">
        <f t="shared" si="0"/>
        <v>425</v>
      </c>
      <c r="AD13">
        <f t="shared" si="0"/>
        <v>-200</v>
      </c>
      <c r="AE13">
        <f t="shared" si="0"/>
        <v>500</v>
      </c>
      <c r="AF13">
        <f t="shared" si="0"/>
        <v>-25</v>
      </c>
      <c r="AG13">
        <f t="shared" si="0"/>
        <v>700</v>
      </c>
    </row>
    <row r="14" spans="1:33" x14ac:dyDescent="0.3">
      <c r="A14" t="s">
        <v>39</v>
      </c>
      <c r="B14">
        <f>B13-125*(B8+B4+B3)+(1-B7)*75</f>
        <v>325</v>
      </c>
      <c r="C14">
        <f t="shared" ref="C14:AG14" si="1">C13-125*(C8+C4+C3)+(1-C7)*75</f>
        <v>-225</v>
      </c>
      <c r="D14">
        <f t="shared" si="1"/>
        <v>550</v>
      </c>
      <c r="E14">
        <f t="shared" si="1"/>
        <v>100</v>
      </c>
      <c r="F14">
        <f t="shared" si="1"/>
        <v>-1025</v>
      </c>
      <c r="G14">
        <f t="shared" si="1"/>
        <v>-550</v>
      </c>
      <c r="H14">
        <f t="shared" si="1"/>
        <v>-875</v>
      </c>
      <c r="I14">
        <f t="shared" si="1"/>
        <v>-375</v>
      </c>
      <c r="J14">
        <f t="shared" si="1"/>
        <v>-225</v>
      </c>
      <c r="K14">
        <f t="shared" si="1"/>
        <v>575</v>
      </c>
      <c r="L14">
        <f t="shared" si="1"/>
        <v>-950</v>
      </c>
      <c r="M14">
        <f t="shared" si="1"/>
        <v>-375</v>
      </c>
      <c r="N14">
        <f t="shared" si="1"/>
        <v>-750</v>
      </c>
      <c r="O14">
        <f t="shared" si="1"/>
        <v>-275</v>
      </c>
      <c r="P14">
        <f t="shared" si="1"/>
        <v>-425</v>
      </c>
      <c r="Q14">
        <f t="shared" si="1"/>
        <v>-375</v>
      </c>
      <c r="R14">
        <f t="shared" si="1"/>
        <v>-75</v>
      </c>
      <c r="S14">
        <f t="shared" si="1"/>
        <v>-250</v>
      </c>
      <c r="T14">
        <f t="shared" si="1"/>
        <v>375</v>
      </c>
      <c r="U14">
        <f t="shared" si="1"/>
        <v>-450</v>
      </c>
      <c r="V14">
        <f t="shared" si="1"/>
        <v>-125</v>
      </c>
      <c r="W14">
        <f t="shared" si="1"/>
        <v>625</v>
      </c>
      <c r="X14">
        <f t="shared" si="1"/>
        <v>-450</v>
      </c>
      <c r="Y14">
        <f t="shared" si="1"/>
        <v>-175</v>
      </c>
      <c r="Z14">
        <f t="shared" si="1"/>
        <v>600</v>
      </c>
      <c r="AA14">
        <f t="shared" si="1"/>
        <v>-775</v>
      </c>
      <c r="AB14">
        <f t="shared" si="1"/>
        <v>-900</v>
      </c>
      <c r="AC14">
        <f t="shared" si="1"/>
        <v>500</v>
      </c>
      <c r="AD14">
        <f t="shared" si="1"/>
        <v>-275</v>
      </c>
      <c r="AE14">
        <f t="shared" si="1"/>
        <v>250</v>
      </c>
      <c r="AF14">
        <f t="shared" si="1"/>
        <v>-25</v>
      </c>
      <c r="AG14">
        <f t="shared" si="1"/>
        <v>775</v>
      </c>
    </row>
    <row r="16" spans="1:33" x14ac:dyDescent="0.3">
      <c r="F16" s="2" t="s">
        <v>40</v>
      </c>
      <c r="G16" s="2"/>
      <c r="H16" s="2"/>
      <c r="I16" s="2"/>
      <c r="J16" s="2"/>
      <c r="K16" s="2"/>
      <c r="L16" s="2"/>
      <c r="M16" s="2"/>
      <c r="N16" s="2"/>
      <c r="O16" s="2"/>
    </row>
    <row r="17" spans="1:33" x14ac:dyDescent="0.3"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t="s">
        <v>13</v>
      </c>
      <c r="P17" t="s">
        <v>14</v>
      </c>
      <c r="Q17" t="s">
        <v>15</v>
      </c>
      <c r="R17" t="s">
        <v>0</v>
      </c>
      <c r="S17" t="s">
        <v>1</v>
      </c>
      <c r="T17" t="s">
        <v>2</v>
      </c>
      <c r="U17" t="s">
        <v>3</v>
      </c>
      <c r="V17" t="s">
        <v>4</v>
      </c>
      <c r="W17" t="s">
        <v>5</v>
      </c>
      <c r="X17" t="s">
        <v>6</v>
      </c>
      <c r="Y17" t="s">
        <v>0</v>
      </c>
      <c r="Z17" t="s">
        <v>1</v>
      </c>
      <c r="AA17" t="s">
        <v>2</v>
      </c>
      <c r="AB17" t="s">
        <v>3</v>
      </c>
      <c r="AC17" t="s">
        <v>4</v>
      </c>
      <c r="AD17" t="s">
        <v>0</v>
      </c>
      <c r="AE17" t="s">
        <v>1</v>
      </c>
      <c r="AF17" t="s">
        <v>0</v>
      </c>
      <c r="AG17" t="s">
        <v>1</v>
      </c>
    </row>
    <row r="18" spans="1:33" x14ac:dyDescent="0.3">
      <c r="A18" t="s">
        <v>19</v>
      </c>
      <c r="H18">
        <v>1</v>
      </c>
      <c r="I18">
        <v>1</v>
      </c>
      <c r="N18">
        <v>1</v>
      </c>
      <c r="O18">
        <v>1</v>
      </c>
      <c r="Q18">
        <v>1</v>
      </c>
      <c r="X18">
        <v>1</v>
      </c>
      <c r="AA18">
        <v>1</v>
      </c>
    </row>
    <row r="19" spans="1:33" x14ac:dyDescent="0.3">
      <c r="A19" t="s">
        <v>26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J19">
        <v>2</v>
      </c>
      <c r="K19">
        <v>2</v>
      </c>
      <c r="L19">
        <v>1</v>
      </c>
      <c r="M19">
        <v>1</v>
      </c>
      <c r="O19">
        <v>1</v>
      </c>
      <c r="P19">
        <v>1</v>
      </c>
      <c r="S19">
        <v>1</v>
      </c>
      <c r="U19">
        <v>2</v>
      </c>
      <c r="AE19">
        <v>2</v>
      </c>
    </row>
    <row r="20" spans="1:33" x14ac:dyDescent="0.3">
      <c r="A20" t="s">
        <v>18</v>
      </c>
      <c r="B20">
        <v>4775</v>
      </c>
      <c r="C20">
        <v>4750</v>
      </c>
      <c r="D20">
        <v>4100</v>
      </c>
      <c r="E20">
        <v>4125</v>
      </c>
      <c r="F20">
        <v>4825</v>
      </c>
      <c r="G20">
        <v>5325</v>
      </c>
      <c r="H20">
        <v>6050</v>
      </c>
      <c r="I20">
        <v>6275</v>
      </c>
      <c r="J20">
        <v>6050</v>
      </c>
      <c r="K20">
        <v>5550</v>
      </c>
      <c r="L20">
        <v>6300</v>
      </c>
      <c r="M20">
        <v>6525</v>
      </c>
      <c r="N20">
        <v>7255</v>
      </c>
      <c r="O20">
        <v>7525</v>
      </c>
      <c r="P20">
        <v>7950</v>
      </c>
      <c r="Q20">
        <v>7825</v>
      </c>
      <c r="R20">
        <v>8025</v>
      </c>
      <c r="S20">
        <v>8550</v>
      </c>
      <c r="T20">
        <v>7900</v>
      </c>
      <c r="U20">
        <v>8275</v>
      </c>
      <c r="V20">
        <v>8375</v>
      </c>
      <c r="W20">
        <v>7550</v>
      </c>
      <c r="X20">
        <v>8050</v>
      </c>
      <c r="Y20">
        <v>8350</v>
      </c>
      <c r="Z20">
        <v>7475</v>
      </c>
      <c r="AA20">
        <v>8025</v>
      </c>
      <c r="AB20">
        <v>8875</v>
      </c>
      <c r="AC20">
        <v>8600</v>
      </c>
      <c r="AD20">
        <v>9075</v>
      </c>
      <c r="AE20">
        <v>8675</v>
      </c>
      <c r="AF20">
        <v>8850</v>
      </c>
      <c r="AG20">
        <v>8275</v>
      </c>
    </row>
    <row r="21" spans="1:33" x14ac:dyDescent="0.3">
      <c r="A21" t="s">
        <v>20</v>
      </c>
      <c r="C21">
        <v>2</v>
      </c>
      <c r="E21">
        <v>2</v>
      </c>
      <c r="F21">
        <v>1</v>
      </c>
      <c r="G21">
        <v>1</v>
      </c>
      <c r="H21">
        <v>1</v>
      </c>
      <c r="J21">
        <v>2</v>
      </c>
      <c r="K21">
        <v>1</v>
      </c>
      <c r="L21">
        <v>1</v>
      </c>
      <c r="M21">
        <v>1</v>
      </c>
      <c r="N21">
        <v>1</v>
      </c>
      <c r="O21">
        <v>0</v>
      </c>
      <c r="P21">
        <v>2</v>
      </c>
      <c r="R21">
        <v>2</v>
      </c>
      <c r="T21">
        <v>2</v>
      </c>
      <c r="U21">
        <v>1</v>
      </c>
      <c r="W21">
        <v>2</v>
      </c>
      <c r="X21">
        <v>1</v>
      </c>
      <c r="Z21">
        <v>2</v>
      </c>
      <c r="AA21">
        <v>1</v>
      </c>
      <c r="AB21">
        <v>1</v>
      </c>
      <c r="AC21">
        <v>1</v>
      </c>
      <c r="AE21">
        <v>2</v>
      </c>
      <c r="AF21">
        <v>1</v>
      </c>
    </row>
    <row r="22" spans="1:33" x14ac:dyDescent="0.3">
      <c r="A22" t="s">
        <v>27</v>
      </c>
      <c r="B22">
        <f>3196+2544+2496+2700+2356+3448</f>
        <v>16740</v>
      </c>
      <c r="C22" t="s">
        <v>28</v>
      </c>
      <c r="D22">
        <f>2860+3904+2020+4000+4000+4000</f>
        <v>20784</v>
      </c>
      <c r="E22" t="s">
        <v>29</v>
      </c>
      <c r="F22">
        <f>D22-B22</f>
        <v>4044</v>
      </c>
      <c r="G22" t="s">
        <v>30</v>
      </c>
      <c r="H22">
        <f>F22/4000*125</f>
        <v>126.37499999999999</v>
      </c>
    </row>
    <row r="23" spans="1:33" x14ac:dyDescent="0.3">
      <c r="A23" t="s">
        <v>41</v>
      </c>
      <c r="B23">
        <f>SUM(B18:AG19)+1</f>
        <v>25</v>
      </c>
      <c r="C23" t="s">
        <v>32</v>
      </c>
      <c r="D23">
        <v>84</v>
      </c>
      <c r="E23" t="s">
        <v>34</v>
      </c>
      <c r="F23">
        <f>D23/300*575</f>
        <v>161.00000000000003</v>
      </c>
      <c r="G23" t="s">
        <v>42</v>
      </c>
      <c r="H23">
        <v>192</v>
      </c>
    </row>
    <row r="24" spans="1:33" x14ac:dyDescent="0.3">
      <c r="A24" t="s">
        <v>37</v>
      </c>
      <c r="B24">
        <f>H22+F23+B23*125+75*H23/300</f>
        <v>3460.375</v>
      </c>
    </row>
    <row r="26" spans="1:33" x14ac:dyDescent="0.3">
      <c r="A26" t="s">
        <v>38</v>
      </c>
      <c r="B26">
        <f>5000-B20</f>
        <v>225</v>
      </c>
      <c r="C26">
        <f>B20-C20</f>
        <v>25</v>
      </c>
      <c r="D26">
        <f t="shared" ref="D26" si="2">C20-D20</f>
        <v>650</v>
      </c>
      <c r="E26">
        <f t="shared" ref="E26" si="3">D20-E20</f>
        <v>-25</v>
      </c>
      <c r="F26">
        <f t="shared" ref="F26" si="4">E20-F20</f>
        <v>-700</v>
      </c>
      <c r="G26">
        <f t="shared" ref="G26" si="5">F20-G20</f>
        <v>-500</v>
      </c>
      <c r="H26">
        <f t="shared" ref="H26" si="6">G20-H20</f>
        <v>-725</v>
      </c>
      <c r="I26">
        <f t="shared" ref="I26" si="7">H20-I20</f>
        <v>-225</v>
      </c>
      <c r="J26">
        <f t="shared" ref="J26" si="8">I20-J20</f>
        <v>225</v>
      </c>
      <c r="K26">
        <f t="shared" ref="K26" si="9">J20-K20</f>
        <v>500</v>
      </c>
      <c r="L26">
        <f t="shared" ref="L26" si="10">K20-L20</f>
        <v>-750</v>
      </c>
      <c r="M26">
        <f t="shared" ref="M26" si="11">L20-M20</f>
        <v>-225</v>
      </c>
      <c r="N26">
        <f t="shared" ref="N26" si="12">M20-N20</f>
        <v>-730</v>
      </c>
      <c r="O26">
        <f t="shared" ref="O26" si="13">N20-O20</f>
        <v>-270</v>
      </c>
      <c r="P26">
        <f t="shared" ref="P26" si="14">O20-P20</f>
        <v>-425</v>
      </c>
      <c r="Q26">
        <f t="shared" ref="Q26" si="15">P20-Q20</f>
        <v>125</v>
      </c>
      <c r="R26">
        <f t="shared" ref="R26" si="16">Q20-R20</f>
        <v>-200</v>
      </c>
      <c r="S26">
        <f t="shared" ref="S26" si="17">R20-S20</f>
        <v>-525</v>
      </c>
      <c r="T26">
        <f t="shared" ref="T26" si="18">S20-T20</f>
        <v>650</v>
      </c>
      <c r="U26">
        <f t="shared" ref="U26" si="19">T20-U20</f>
        <v>-375</v>
      </c>
      <c r="V26">
        <f t="shared" ref="V26" si="20">U20-V20</f>
        <v>-100</v>
      </c>
      <c r="W26">
        <f t="shared" ref="W26" si="21">V20-W20</f>
        <v>825</v>
      </c>
      <c r="X26">
        <f t="shared" ref="X26" si="22">W20-X20</f>
        <v>-500</v>
      </c>
      <c r="Y26">
        <f t="shared" ref="Y26" si="23">X20-Y20</f>
        <v>-300</v>
      </c>
      <c r="Z26">
        <f t="shared" ref="Z26" si="24">Y20-Z20</f>
        <v>875</v>
      </c>
      <c r="AA26">
        <f t="shared" ref="AA26" si="25">Z20-AA20</f>
        <v>-550</v>
      </c>
      <c r="AB26">
        <f t="shared" ref="AB26" si="26">AA20-AB20</f>
        <v>-850</v>
      </c>
      <c r="AC26">
        <f t="shared" ref="AC26" si="27">AB20-AC20</f>
        <v>275</v>
      </c>
      <c r="AD26">
        <f t="shared" ref="AD26" si="28">AC20-AD20</f>
        <v>-475</v>
      </c>
      <c r="AE26">
        <f t="shared" ref="AE26" si="29">AD20-AE20</f>
        <v>400</v>
      </c>
      <c r="AF26">
        <f t="shared" ref="AF26" si="30">AE20-AF20</f>
        <v>-175</v>
      </c>
      <c r="AG26">
        <f t="shared" ref="AG26" si="31">AF20-AG20</f>
        <v>575</v>
      </c>
    </row>
    <row r="27" spans="1:33" x14ac:dyDescent="0.3">
      <c r="A27" t="s">
        <v>39</v>
      </c>
      <c r="B27">
        <f>B26-125*(B19+B18)+(1-B21)*75</f>
        <v>175</v>
      </c>
      <c r="C27">
        <f t="shared" ref="C27:AG27" si="32">C26-125*(C19+C18)+(1-C21)*75</f>
        <v>-175</v>
      </c>
      <c r="D27">
        <f t="shared" si="32"/>
        <v>725</v>
      </c>
      <c r="E27">
        <f t="shared" si="32"/>
        <v>-100</v>
      </c>
      <c r="F27">
        <f t="shared" si="32"/>
        <v>-825</v>
      </c>
      <c r="G27">
        <f t="shared" si="32"/>
        <v>-625</v>
      </c>
      <c r="H27">
        <f t="shared" si="32"/>
        <v>-850</v>
      </c>
      <c r="I27">
        <f t="shared" si="32"/>
        <v>-275</v>
      </c>
      <c r="J27">
        <f t="shared" si="32"/>
        <v>-100</v>
      </c>
      <c r="K27">
        <f t="shared" si="32"/>
        <v>250</v>
      </c>
      <c r="L27">
        <f t="shared" si="32"/>
        <v>-875</v>
      </c>
      <c r="M27">
        <f t="shared" si="32"/>
        <v>-350</v>
      </c>
      <c r="N27">
        <f t="shared" si="32"/>
        <v>-855</v>
      </c>
      <c r="O27">
        <f t="shared" si="32"/>
        <v>-445</v>
      </c>
      <c r="P27">
        <f t="shared" si="32"/>
        <v>-625</v>
      </c>
      <c r="Q27">
        <f t="shared" si="32"/>
        <v>75</v>
      </c>
      <c r="R27">
        <f t="shared" si="32"/>
        <v>-275</v>
      </c>
      <c r="S27">
        <f t="shared" si="32"/>
        <v>-575</v>
      </c>
      <c r="T27">
        <f t="shared" si="32"/>
        <v>575</v>
      </c>
      <c r="U27">
        <f t="shared" si="32"/>
        <v>-625</v>
      </c>
      <c r="V27">
        <f t="shared" si="32"/>
        <v>-25</v>
      </c>
      <c r="W27">
        <f t="shared" si="32"/>
        <v>750</v>
      </c>
      <c r="X27">
        <f t="shared" si="32"/>
        <v>-625</v>
      </c>
      <c r="Y27">
        <f t="shared" si="32"/>
        <v>-225</v>
      </c>
      <c r="Z27">
        <f t="shared" si="32"/>
        <v>800</v>
      </c>
      <c r="AA27">
        <f t="shared" si="32"/>
        <v>-675</v>
      </c>
      <c r="AB27">
        <f t="shared" si="32"/>
        <v>-850</v>
      </c>
      <c r="AC27">
        <f t="shared" si="32"/>
        <v>275</v>
      </c>
      <c r="AD27">
        <f t="shared" si="32"/>
        <v>-400</v>
      </c>
      <c r="AE27">
        <f t="shared" si="32"/>
        <v>75</v>
      </c>
      <c r="AF27">
        <f t="shared" si="32"/>
        <v>-175</v>
      </c>
      <c r="AG27">
        <f t="shared" si="32"/>
        <v>650</v>
      </c>
    </row>
    <row r="30" spans="1:33" x14ac:dyDescent="0.3">
      <c r="A30" t="s">
        <v>43</v>
      </c>
      <c r="B30" t="s">
        <v>44</v>
      </c>
      <c r="D30" t="s">
        <v>45</v>
      </c>
    </row>
    <row r="31" spans="1:33" x14ac:dyDescent="0.3">
      <c r="A31" t="str" cm="1">
        <f t="array" ref="A31:A62">TRANSPOSE(B17:AG17)</f>
        <v>2000-2002</v>
      </c>
      <c r="B31" cm="1">
        <f t="array" ref="B31:B62">TRANSPOSE(B14:AG14)</f>
        <v>325</v>
      </c>
      <c r="D31" cm="1">
        <f t="array" ref="D31:D62">TRANSPOSE(B27:AG27)</f>
        <v>175</v>
      </c>
    </row>
    <row r="32" spans="1:33" x14ac:dyDescent="0.3">
      <c r="A32" t="str">
        <v>2002-2004</v>
      </c>
      <c r="B32">
        <v>-225</v>
      </c>
      <c r="D32">
        <v>-175</v>
      </c>
    </row>
    <row r="33" spans="1:4" x14ac:dyDescent="0.3">
      <c r="A33" t="str">
        <v>2004-2006</v>
      </c>
      <c r="B33">
        <v>550</v>
      </c>
      <c r="D33">
        <v>725</v>
      </c>
    </row>
    <row r="34" spans="1:4" x14ac:dyDescent="0.3">
      <c r="A34" t="str">
        <v>2006-2008</v>
      </c>
      <c r="B34">
        <v>100</v>
      </c>
      <c r="D34">
        <v>-100</v>
      </c>
    </row>
    <row r="35" spans="1:4" x14ac:dyDescent="0.3">
      <c r="A35" t="str">
        <v>2008-2010</v>
      </c>
      <c r="B35">
        <v>-1025</v>
      </c>
      <c r="D35">
        <v>-825</v>
      </c>
    </row>
    <row r="36" spans="1:4" x14ac:dyDescent="0.3">
      <c r="A36" t="str">
        <v>2010-2012</v>
      </c>
      <c r="B36">
        <v>-550</v>
      </c>
      <c r="D36">
        <v>-625</v>
      </c>
    </row>
    <row r="37" spans="1:4" x14ac:dyDescent="0.3">
      <c r="A37" t="str">
        <v>2012-2014</v>
      </c>
      <c r="B37">
        <v>-875</v>
      </c>
      <c r="D37">
        <v>-850</v>
      </c>
    </row>
    <row r="38" spans="1:4" x14ac:dyDescent="0.3">
      <c r="A38" t="str">
        <v>2014-2016</v>
      </c>
      <c r="B38">
        <v>-375</v>
      </c>
      <c r="D38">
        <v>-275</v>
      </c>
    </row>
    <row r="39" spans="1:4" x14ac:dyDescent="0.3">
      <c r="A39" t="str">
        <v>2016-2018</v>
      </c>
      <c r="B39">
        <v>-225</v>
      </c>
      <c r="D39">
        <v>-100</v>
      </c>
    </row>
    <row r="40" spans="1:4" x14ac:dyDescent="0.3">
      <c r="A40" t="str">
        <v>2018-2020</v>
      </c>
      <c r="B40">
        <v>575</v>
      </c>
      <c r="D40">
        <v>250</v>
      </c>
    </row>
    <row r="41" spans="1:4" x14ac:dyDescent="0.3">
      <c r="A41" t="str">
        <v>2020-2022</v>
      </c>
      <c r="B41">
        <v>-950</v>
      </c>
      <c r="D41">
        <v>-875</v>
      </c>
    </row>
    <row r="42" spans="1:4" x14ac:dyDescent="0.3">
      <c r="A42" t="str">
        <v>2022-2024</v>
      </c>
      <c r="B42">
        <v>-375</v>
      </c>
      <c r="D42">
        <v>-350</v>
      </c>
    </row>
    <row r="43" spans="1:4" x14ac:dyDescent="0.3">
      <c r="A43" t="str">
        <v>2024-2026</v>
      </c>
      <c r="B43">
        <v>-750</v>
      </c>
      <c r="D43">
        <v>-855</v>
      </c>
    </row>
    <row r="44" spans="1:4" x14ac:dyDescent="0.3">
      <c r="A44" t="str">
        <v>2026-2028</v>
      </c>
      <c r="B44">
        <v>-275</v>
      </c>
      <c r="D44">
        <v>-445</v>
      </c>
    </row>
    <row r="45" spans="1:4" x14ac:dyDescent="0.3">
      <c r="A45" t="str">
        <v>2028-2030</v>
      </c>
      <c r="B45">
        <v>-425</v>
      </c>
      <c r="D45">
        <v>-625</v>
      </c>
    </row>
    <row r="46" spans="1:4" x14ac:dyDescent="0.3">
      <c r="A46" t="str">
        <v>2030-2032</v>
      </c>
      <c r="B46">
        <v>-375</v>
      </c>
      <c r="D46">
        <v>75</v>
      </c>
    </row>
    <row r="47" spans="1:4" x14ac:dyDescent="0.3">
      <c r="A47" t="str">
        <v>2000-2002</v>
      </c>
      <c r="B47">
        <v>-75</v>
      </c>
      <c r="D47">
        <v>-275</v>
      </c>
    </row>
    <row r="48" spans="1:4" x14ac:dyDescent="0.3">
      <c r="A48" t="str">
        <v>2002-2004</v>
      </c>
      <c r="B48">
        <v>-250</v>
      </c>
      <c r="D48">
        <v>-575</v>
      </c>
    </row>
    <row r="49" spans="1:4" x14ac:dyDescent="0.3">
      <c r="A49" t="str">
        <v>2004-2006</v>
      </c>
      <c r="B49">
        <v>375</v>
      </c>
      <c r="D49">
        <v>575</v>
      </c>
    </row>
    <row r="50" spans="1:4" x14ac:dyDescent="0.3">
      <c r="A50" t="str">
        <v>2006-2008</v>
      </c>
      <c r="B50">
        <v>-450</v>
      </c>
      <c r="D50">
        <v>-625</v>
      </c>
    </row>
    <row r="51" spans="1:4" x14ac:dyDescent="0.3">
      <c r="A51" t="str">
        <v>2008-2010</v>
      </c>
      <c r="B51">
        <v>-125</v>
      </c>
      <c r="D51">
        <v>-25</v>
      </c>
    </row>
    <row r="52" spans="1:4" x14ac:dyDescent="0.3">
      <c r="A52" t="str">
        <v>2010-2012</v>
      </c>
      <c r="B52">
        <v>625</v>
      </c>
      <c r="D52">
        <v>750</v>
      </c>
    </row>
    <row r="53" spans="1:4" x14ac:dyDescent="0.3">
      <c r="A53" t="str">
        <v>2012-2014</v>
      </c>
      <c r="B53">
        <v>-450</v>
      </c>
      <c r="D53">
        <v>-625</v>
      </c>
    </row>
    <row r="54" spans="1:4" x14ac:dyDescent="0.3">
      <c r="A54" t="str">
        <v>2000-2002</v>
      </c>
      <c r="B54">
        <v>-175</v>
      </c>
      <c r="D54">
        <v>-225</v>
      </c>
    </row>
    <row r="55" spans="1:4" x14ac:dyDescent="0.3">
      <c r="A55" t="str">
        <v>2002-2004</v>
      </c>
      <c r="B55">
        <v>600</v>
      </c>
      <c r="D55">
        <v>800</v>
      </c>
    </row>
    <row r="56" spans="1:4" x14ac:dyDescent="0.3">
      <c r="A56" t="str">
        <v>2004-2006</v>
      </c>
      <c r="B56">
        <v>-775</v>
      </c>
      <c r="D56">
        <v>-675</v>
      </c>
    </row>
    <row r="57" spans="1:4" x14ac:dyDescent="0.3">
      <c r="A57" t="str">
        <v>2006-2008</v>
      </c>
      <c r="B57">
        <v>-900</v>
      </c>
      <c r="D57">
        <v>-850</v>
      </c>
    </row>
    <row r="58" spans="1:4" x14ac:dyDescent="0.3">
      <c r="A58" t="str">
        <v>2008-2010</v>
      </c>
      <c r="B58">
        <v>500</v>
      </c>
      <c r="D58">
        <v>275</v>
      </c>
    </row>
    <row r="59" spans="1:4" x14ac:dyDescent="0.3">
      <c r="A59" t="str">
        <v>2000-2002</v>
      </c>
      <c r="B59">
        <v>-275</v>
      </c>
      <c r="D59">
        <v>-400</v>
      </c>
    </row>
    <row r="60" spans="1:4" x14ac:dyDescent="0.3">
      <c r="A60" t="str">
        <v>2002-2004</v>
      </c>
      <c r="B60">
        <v>250</v>
      </c>
      <c r="D60">
        <v>75</v>
      </c>
    </row>
    <row r="61" spans="1:4" x14ac:dyDescent="0.3">
      <c r="A61" t="str">
        <v>2000-2002</v>
      </c>
      <c r="B61">
        <v>-25</v>
      </c>
      <c r="D61">
        <v>-175</v>
      </c>
    </row>
    <row r="62" spans="1:4" x14ac:dyDescent="0.3">
      <c r="A62" t="str">
        <v>2002-2004</v>
      </c>
      <c r="B62">
        <v>775</v>
      </c>
      <c r="D62">
        <v>650</v>
      </c>
    </row>
    <row r="63" spans="1:4" x14ac:dyDescent="0.3">
      <c r="A63" t="s">
        <v>46</v>
      </c>
      <c r="B63">
        <f>B11</f>
        <v>3845.9583333333335</v>
      </c>
      <c r="D63">
        <f>B24</f>
        <v>3460.375</v>
      </c>
    </row>
    <row r="73" spans="1:33" x14ac:dyDescent="0.3">
      <c r="F73" s="2" t="s">
        <v>47</v>
      </c>
      <c r="G73" s="2"/>
      <c r="H73" s="2"/>
      <c r="I73" s="2"/>
      <c r="J73" s="2"/>
      <c r="K73" s="2"/>
      <c r="L73" s="2"/>
      <c r="M73" s="2"/>
      <c r="N73" s="2"/>
      <c r="O73" s="2"/>
    </row>
    <row r="74" spans="1:33" x14ac:dyDescent="0.3"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0</v>
      </c>
      <c r="L74" t="s">
        <v>1</v>
      </c>
      <c r="M74" t="s">
        <v>2</v>
      </c>
      <c r="N74" t="s">
        <v>3</v>
      </c>
      <c r="O74" t="s">
        <v>4</v>
      </c>
      <c r="P74" t="s">
        <v>5</v>
      </c>
      <c r="Q74" t="s">
        <v>0</v>
      </c>
      <c r="R74" t="s">
        <v>1</v>
      </c>
      <c r="S74" t="s">
        <v>2</v>
      </c>
      <c r="T74" t="s">
        <v>3</v>
      </c>
      <c r="U74" t="s">
        <v>4</v>
      </c>
      <c r="V74" t="s">
        <v>0</v>
      </c>
      <c r="W74" t="s">
        <v>1</v>
      </c>
      <c r="X74" t="s">
        <v>2</v>
      </c>
      <c r="Y74" t="s">
        <v>0</v>
      </c>
      <c r="Z74" t="s">
        <v>1</v>
      </c>
      <c r="AA74" t="s">
        <v>0</v>
      </c>
      <c r="AB74" t="s">
        <v>1</v>
      </c>
      <c r="AC74" t="s">
        <v>2</v>
      </c>
      <c r="AD74" t="s">
        <v>0</v>
      </c>
      <c r="AE74" t="s">
        <v>1</v>
      </c>
      <c r="AF74" t="s">
        <v>2</v>
      </c>
      <c r="AG74" t="s">
        <v>0</v>
      </c>
    </row>
    <row r="75" spans="1:33" x14ac:dyDescent="0.3">
      <c r="A75" t="s">
        <v>26</v>
      </c>
      <c r="F75">
        <v>3</v>
      </c>
      <c r="H75">
        <v>2</v>
      </c>
      <c r="O75">
        <v>2</v>
      </c>
      <c r="P75">
        <v>3</v>
      </c>
      <c r="W75">
        <v>2</v>
      </c>
      <c r="Z75">
        <v>4</v>
      </c>
      <c r="AB75">
        <v>1</v>
      </c>
      <c r="AF75">
        <v>3</v>
      </c>
    </row>
    <row r="76" spans="1:33" x14ac:dyDescent="0.3">
      <c r="A76" t="s">
        <v>18</v>
      </c>
      <c r="B76">
        <v>5625</v>
      </c>
      <c r="C76">
        <v>5925</v>
      </c>
      <c r="D76">
        <v>5950</v>
      </c>
      <c r="E76">
        <v>5600</v>
      </c>
      <c r="F76">
        <v>5100</v>
      </c>
      <c r="G76">
        <v>5700</v>
      </c>
      <c r="H76">
        <v>4775</v>
      </c>
      <c r="I76">
        <v>4275</v>
      </c>
      <c r="J76">
        <v>4600</v>
      </c>
      <c r="K76">
        <v>4350</v>
      </c>
      <c r="L76">
        <v>5125</v>
      </c>
      <c r="M76">
        <v>5900</v>
      </c>
      <c r="N76">
        <v>5600</v>
      </c>
      <c r="O76">
        <v>6175</v>
      </c>
      <c r="P76">
        <v>6450</v>
      </c>
      <c r="Q76">
        <v>6050</v>
      </c>
      <c r="R76">
        <v>5575</v>
      </c>
      <c r="S76">
        <v>5275</v>
      </c>
      <c r="T76">
        <v>4475</v>
      </c>
      <c r="U76">
        <v>5150</v>
      </c>
      <c r="V76">
        <v>4675</v>
      </c>
      <c r="W76">
        <v>4150</v>
      </c>
      <c r="X76">
        <v>3650</v>
      </c>
      <c r="Y76">
        <v>4475</v>
      </c>
      <c r="Z76">
        <v>4300</v>
      </c>
      <c r="AA76">
        <v>4250</v>
      </c>
      <c r="AB76">
        <v>4825</v>
      </c>
      <c r="AC76">
        <v>4600</v>
      </c>
      <c r="AD76">
        <v>4225</v>
      </c>
      <c r="AE76">
        <v>4900</v>
      </c>
      <c r="AF76">
        <v>5100</v>
      </c>
      <c r="AG76">
        <v>4525</v>
      </c>
    </row>
    <row r="77" spans="1:33" x14ac:dyDescent="0.3">
      <c r="A77" t="s">
        <v>20</v>
      </c>
      <c r="B77" s="2">
        <v>1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x14ac:dyDescent="0.3">
      <c r="A78" t="s">
        <v>48</v>
      </c>
      <c r="G78">
        <v>1</v>
      </c>
      <c r="V78">
        <v>1</v>
      </c>
    </row>
    <row r="79" spans="1:33" x14ac:dyDescent="0.3">
      <c r="A79" t="s">
        <v>27</v>
      </c>
      <c r="B79">
        <f>3044+3908+428+1900+1080+3140-12</f>
        <v>13488</v>
      </c>
      <c r="C79" t="s">
        <v>28</v>
      </c>
      <c r="D79">
        <v>24000</v>
      </c>
      <c r="E79" t="s">
        <v>29</v>
      </c>
      <c r="F79">
        <f>D79-B79</f>
        <v>10512</v>
      </c>
      <c r="G79" t="s">
        <v>49</v>
      </c>
      <c r="H79">
        <f>F79/4000*125</f>
        <v>328.5</v>
      </c>
    </row>
    <row r="80" spans="1:33" x14ac:dyDescent="0.3">
      <c r="A80" t="s">
        <v>50</v>
      </c>
      <c r="B80">
        <f>SUM(B75:AG75)+1</f>
        <v>21</v>
      </c>
      <c r="C80" t="s">
        <v>32</v>
      </c>
      <c r="D80">
        <v>20</v>
      </c>
      <c r="E80" t="s">
        <v>34</v>
      </c>
      <c r="F80">
        <f>D80/300*675</f>
        <v>45</v>
      </c>
    </row>
    <row r="81" spans="1:33" x14ac:dyDescent="0.3">
      <c r="A81" t="s">
        <v>37</v>
      </c>
      <c r="B81">
        <f>H79+F80+B80*125+75*H80/300+75*SUM(B78:AG78)</f>
        <v>3148.5</v>
      </c>
    </row>
    <row r="83" spans="1:33" x14ac:dyDescent="0.3">
      <c r="A83" t="s">
        <v>38</v>
      </c>
      <c r="B83">
        <f>5000-B76</f>
        <v>-625</v>
      </c>
      <c r="C83">
        <f t="shared" ref="C83:AG83" si="33">B76-C76</f>
        <v>-300</v>
      </c>
      <c r="D83">
        <f t="shared" si="33"/>
        <v>-25</v>
      </c>
      <c r="E83">
        <f t="shared" si="33"/>
        <v>350</v>
      </c>
      <c r="F83">
        <f t="shared" si="33"/>
        <v>500</v>
      </c>
      <c r="G83">
        <f t="shared" si="33"/>
        <v>-600</v>
      </c>
      <c r="H83">
        <f t="shared" si="33"/>
        <v>925</v>
      </c>
      <c r="I83">
        <f t="shared" si="33"/>
        <v>500</v>
      </c>
      <c r="J83">
        <f t="shared" si="33"/>
        <v>-325</v>
      </c>
      <c r="K83">
        <f t="shared" si="33"/>
        <v>250</v>
      </c>
      <c r="L83">
        <f t="shared" si="33"/>
        <v>-775</v>
      </c>
      <c r="M83">
        <f t="shared" si="33"/>
        <v>-775</v>
      </c>
      <c r="N83">
        <f t="shared" si="33"/>
        <v>300</v>
      </c>
      <c r="O83">
        <f t="shared" si="33"/>
        <v>-575</v>
      </c>
      <c r="P83">
        <f t="shared" si="33"/>
        <v>-275</v>
      </c>
      <c r="Q83">
        <f t="shared" si="33"/>
        <v>400</v>
      </c>
      <c r="R83">
        <f t="shared" si="33"/>
        <v>475</v>
      </c>
      <c r="S83">
        <f t="shared" si="33"/>
        <v>300</v>
      </c>
      <c r="T83">
        <f t="shared" si="33"/>
        <v>800</v>
      </c>
      <c r="U83">
        <f t="shared" si="33"/>
        <v>-675</v>
      </c>
      <c r="V83">
        <f t="shared" si="33"/>
        <v>475</v>
      </c>
      <c r="W83">
        <f t="shared" si="33"/>
        <v>525</v>
      </c>
      <c r="X83">
        <f t="shared" si="33"/>
        <v>500</v>
      </c>
      <c r="Y83">
        <f t="shared" si="33"/>
        <v>-825</v>
      </c>
      <c r="Z83">
        <f t="shared" si="33"/>
        <v>175</v>
      </c>
      <c r="AA83">
        <f t="shared" si="33"/>
        <v>50</v>
      </c>
      <c r="AB83">
        <f t="shared" si="33"/>
        <v>-575</v>
      </c>
      <c r="AC83">
        <f t="shared" si="33"/>
        <v>225</v>
      </c>
      <c r="AD83">
        <f t="shared" si="33"/>
        <v>375</v>
      </c>
      <c r="AE83">
        <f t="shared" si="33"/>
        <v>-675</v>
      </c>
      <c r="AF83">
        <f t="shared" si="33"/>
        <v>-200</v>
      </c>
      <c r="AG83">
        <f t="shared" si="33"/>
        <v>575</v>
      </c>
    </row>
    <row r="84" spans="1:33" x14ac:dyDescent="0.3">
      <c r="A84" t="s">
        <v>39</v>
      </c>
      <c r="B84">
        <f>B83-125*B75-B78*75</f>
        <v>-625</v>
      </c>
      <c r="C84">
        <f t="shared" ref="C84:AG84" si="34">C83-125*C75-C78*75</f>
        <v>-300</v>
      </c>
      <c r="D84">
        <f t="shared" si="34"/>
        <v>-25</v>
      </c>
      <c r="E84">
        <f t="shared" si="34"/>
        <v>350</v>
      </c>
      <c r="F84">
        <f t="shared" si="34"/>
        <v>125</v>
      </c>
      <c r="G84">
        <f t="shared" si="34"/>
        <v>-675</v>
      </c>
      <c r="H84">
        <f t="shared" si="34"/>
        <v>675</v>
      </c>
      <c r="I84">
        <f t="shared" si="34"/>
        <v>500</v>
      </c>
      <c r="J84">
        <f t="shared" si="34"/>
        <v>-325</v>
      </c>
      <c r="K84">
        <f t="shared" si="34"/>
        <v>250</v>
      </c>
      <c r="L84">
        <f t="shared" si="34"/>
        <v>-775</v>
      </c>
      <c r="M84">
        <f t="shared" si="34"/>
        <v>-775</v>
      </c>
      <c r="N84">
        <f t="shared" si="34"/>
        <v>300</v>
      </c>
      <c r="O84">
        <f t="shared" si="34"/>
        <v>-825</v>
      </c>
      <c r="P84">
        <f t="shared" si="34"/>
        <v>-650</v>
      </c>
      <c r="Q84">
        <f t="shared" si="34"/>
        <v>400</v>
      </c>
      <c r="R84">
        <f t="shared" si="34"/>
        <v>475</v>
      </c>
      <c r="S84">
        <f t="shared" si="34"/>
        <v>300</v>
      </c>
      <c r="T84">
        <f t="shared" si="34"/>
        <v>800</v>
      </c>
      <c r="U84">
        <f t="shared" si="34"/>
        <v>-675</v>
      </c>
      <c r="V84">
        <f t="shared" si="34"/>
        <v>400</v>
      </c>
      <c r="W84">
        <f t="shared" si="34"/>
        <v>275</v>
      </c>
      <c r="X84">
        <f t="shared" si="34"/>
        <v>500</v>
      </c>
      <c r="Y84">
        <f t="shared" si="34"/>
        <v>-825</v>
      </c>
      <c r="Z84">
        <f t="shared" si="34"/>
        <v>-325</v>
      </c>
      <c r="AA84">
        <f t="shared" si="34"/>
        <v>50</v>
      </c>
      <c r="AB84">
        <f t="shared" si="34"/>
        <v>-700</v>
      </c>
      <c r="AC84">
        <f t="shared" si="34"/>
        <v>225</v>
      </c>
      <c r="AD84">
        <f t="shared" si="34"/>
        <v>375</v>
      </c>
      <c r="AE84">
        <f t="shared" si="34"/>
        <v>-675</v>
      </c>
      <c r="AF84">
        <f t="shared" si="34"/>
        <v>-575</v>
      </c>
      <c r="AG84">
        <f t="shared" si="34"/>
        <v>575</v>
      </c>
    </row>
    <row r="86" spans="1:33" x14ac:dyDescent="0.3">
      <c r="B86" t="s">
        <v>51</v>
      </c>
    </row>
    <row r="87" spans="1:33" x14ac:dyDescent="0.3">
      <c r="A87" t="str" cm="1">
        <f t="array" ref="A87:A118">TRANSPOSE(B74:AG74)</f>
        <v>2000-2002</v>
      </c>
      <c r="B87" cm="1">
        <f t="array" ref="B87:B118">TRANSPOSE(B84:AG84)</f>
        <v>-625</v>
      </c>
    </row>
    <row r="88" spans="1:33" x14ac:dyDescent="0.3">
      <c r="A88" t="str">
        <v>2002-2004</v>
      </c>
      <c r="B88">
        <v>-300</v>
      </c>
    </row>
    <row r="89" spans="1:33" x14ac:dyDescent="0.3">
      <c r="A89" t="str">
        <v>2004-2006</v>
      </c>
      <c r="B89">
        <v>-25</v>
      </c>
    </row>
    <row r="90" spans="1:33" x14ac:dyDescent="0.3">
      <c r="A90" t="str">
        <v>2006-2008</v>
      </c>
      <c r="B90">
        <v>350</v>
      </c>
    </row>
    <row r="91" spans="1:33" x14ac:dyDescent="0.3">
      <c r="A91" t="str">
        <v>2008-2010</v>
      </c>
      <c r="B91">
        <v>125</v>
      </c>
    </row>
    <row r="92" spans="1:33" x14ac:dyDescent="0.3">
      <c r="A92" t="str">
        <v>2010-2012</v>
      </c>
      <c r="B92">
        <v>-675</v>
      </c>
    </row>
    <row r="93" spans="1:33" x14ac:dyDescent="0.3">
      <c r="A93" t="str">
        <v>2012-2014</v>
      </c>
      <c r="B93">
        <v>675</v>
      </c>
    </row>
    <row r="94" spans="1:33" x14ac:dyDescent="0.3">
      <c r="A94" t="str">
        <v>2014-2016</v>
      </c>
      <c r="B94">
        <v>500</v>
      </c>
    </row>
    <row r="95" spans="1:33" x14ac:dyDescent="0.3">
      <c r="A95" t="str">
        <v>2016-2018</v>
      </c>
      <c r="B95">
        <v>-325</v>
      </c>
    </row>
    <row r="96" spans="1:33" x14ac:dyDescent="0.3">
      <c r="A96" t="str">
        <v>2000-2002</v>
      </c>
      <c r="B96">
        <v>250</v>
      </c>
    </row>
    <row r="97" spans="1:2" x14ac:dyDescent="0.3">
      <c r="A97" t="str">
        <v>2002-2004</v>
      </c>
      <c r="B97">
        <v>-775</v>
      </c>
    </row>
    <row r="98" spans="1:2" x14ac:dyDescent="0.3">
      <c r="A98" t="str">
        <v>2004-2006</v>
      </c>
      <c r="B98">
        <v>-775</v>
      </c>
    </row>
    <row r="99" spans="1:2" x14ac:dyDescent="0.3">
      <c r="A99" t="str">
        <v>2006-2008</v>
      </c>
      <c r="B99">
        <v>300</v>
      </c>
    </row>
    <row r="100" spans="1:2" x14ac:dyDescent="0.3">
      <c r="A100" t="str">
        <v>2008-2010</v>
      </c>
      <c r="B100">
        <v>-825</v>
      </c>
    </row>
    <row r="101" spans="1:2" x14ac:dyDescent="0.3">
      <c r="A101" t="str">
        <v>2010-2012</v>
      </c>
      <c r="B101">
        <v>-650</v>
      </c>
    </row>
    <row r="102" spans="1:2" x14ac:dyDescent="0.3">
      <c r="A102" t="str">
        <v>2000-2002</v>
      </c>
      <c r="B102">
        <v>400</v>
      </c>
    </row>
    <row r="103" spans="1:2" x14ac:dyDescent="0.3">
      <c r="A103" t="str">
        <v>2002-2004</v>
      </c>
      <c r="B103">
        <v>475</v>
      </c>
    </row>
    <row r="104" spans="1:2" x14ac:dyDescent="0.3">
      <c r="A104" t="str">
        <v>2004-2006</v>
      </c>
      <c r="B104">
        <v>300</v>
      </c>
    </row>
    <row r="105" spans="1:2" x14ac:dyDescent="0.3">
      <c r="A105" t="str">
        <v>2006-2008</v>
      </c>
      <c r="B105">
        <v>800</v>
      </c>
    </row>
    <row r="106" spans="1:2" x14ac:dyDescent="0.3">
      <c r="A106" t="str">
        <v>2008-2010</v>
      </c>
      <c r="B106">
        <v>-675</v>
      </c>
    </row>
    <row r="107" spans="1:2" x14ac:dyDescent="0.3">
      <c r="A107" t="str">
        <v>2000-2002</v>
      </c>
      <c r="B107">
        <v>400</v>
      </c>
    </row>
    <row r="108" spans="1:2" x14ac:dyDescent="0.3">
      <c r="A108" t="str">
        <v>2002-2004</v>
      </c>
      <c r="B108">
        <v>275</v>
      </c>
    </row>
    <row r="109" spans="1:2" x14ac:dyDescent="0.3">
      <c r="A109" t="str">
        <v>2004-2006</v>
      </c>
      <c r="B109">
        <v>500</v>
      </c>
    </row>
    <row r="110" spans="1:2" x14ac:dyDescent="0.3">
      <c r="A110" t="str">
        <v>2000-2002</v>
      </c>
      <c r="B110">
        <v>-825</v>
      </c>
    </row>
    <row r="111" spans="1:2" x14ac:dyDescent="0.3">
      <c r="A111" t="str">
        <v>2002-2004</v>
      </c>
      <c r="B111">
        <v>-325</v>
      </c>
    </row>
    <row r="112" spans="1:2" x14ac:dyDescent="0.3">
      <c r="A112" t="str">
        <v>2000-2002</v>
      </c>
      <c r="B112">
        <v>50</v>
      </c>
    </row>
    <row r="113" spans="1:33" x14ac:dyDescent="0.3">
      <c r="A113" t="str">
        <v>2002-2004</v>
      </c>
      <c r="B113">
        <v>-700</v>
      </c>
    </row>
    <row r="114" spans="1:33" x14ac:dyDescent="0.3">
      <c r="A114" t="str">
        <v>2004-2006</v>
      </c>
      <c r="B114">
        <v>225</v>
      </c>
    </row>
    <row r="115" spans="1:33" x14ac:dyDescent="0.3">
      <c r="A115" t="str">
        <v>2000-2002</v>
      </c>
      <c r="B115">
        <v>375</v>
      </c>
    </row>
    <row r="116" spans="1:33" x14ac:dyDescent="0.3">
      <c r="A116" t="str">
        <v>2002-2004</v>
      </c>
      <c r="B116">
        <v>-675</v>
      </c>
    </row>
    <row r="117" spans="1:33" x14ac:dyDescent="0.3">
      <c r="A117" t="str">
        <v>2004-2006</v>
      </c>
      <c r="B117">
        <v>-575</v>
      </c>
    </row>
    <row r="118" spans="1:33" x14ac:dyDescent="0.3">
      <c r="A118" t="str">
        <v>2000-2002</v>
      </c>
      <c r="B118">
        <v>575</v>
      </c>
    </row>
    <row r="120" spans="1:33" x14ac:dyDescent="0.3">
      <c r="A120" t="s">
        <v>52</v>
      </c>
      <c r="B120">
        <f>B81/32</f>
        <v>98.390625</v>
      </c>
    </row>
    <row r="125" spans="1:33" x14ac:dyDescent="0.3">
      <c r="F125" s="2" t="s">
        <v>53</v>
      </c>
      <c r="G125" s="2"/>
      <c r="H125" s="2"/>
      <c r="I125" s="2"/>
      <c r="J125" s="2"/>
      <c r="K125" s="2"/>
      <c r="L125" s="2"/>
      <c r="M125" s="2"/>
      <c r="N125" s="2"/>
      <c r="O125" s="2"/>
    </row>
    <row r="126" spans="1:33" x14ac:dyDescent="0.3"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  <c r="H126" t="s">
        <v>6</v>
      </c>
      <c r="I126" t="s">
        <v>7</v>
      </c>
      <c r="J126" t="s">
        <v>8</v>
      </c>
      <c r="K126" t="s">
        <v>0</v>
      </c>
      <c r="L126" t="s">
        <v>1</v>
      </c>
      <c r="M126" t="s">
        <v>2</v>
      </c>
      <c r="N126" t="s">
        <v>3</v>
      </c>
      <c r="O126" t="s">
        <v>4</v>
      </c>
      <c r="P126" t="s">
        <v>5</v>
      </c>
      <c r="Q126" t="s">
        <v>0</v>
      </c>
      <c r="R126" t="s">
        <v>1</v>
      </c>
      <c r="S126" t="s">
        <v>2</v>
      </c>
      <c r="T126" t="s">
        <v>3</v>
      </c>
      <c r="U126" t="s">
        <v>4</v>
      </c>
      <c r="V126" t="s">
        <v>0</v>
      </c>
      <c r="W126" t="s">
        <v>1</v>
      </c>
      <c r="X126" t="s">
        <v>2</v>
      </c>
      <c r="Y126" t="s">
        <v>0</v>
      </c>
      <c r="Z126" t="s">
        <v>1</v>
      </c>
      <c r="AA126" t="s">
        <v>0</v>
      </c>
      <c r="AB126" t="s">
        <v>1</v>
      </c>
      <c r="AC126" t="s">
        <v>2</v>
      </c>
      <c r="AD126" t="s">
        <v>0</v>
      </c>
      <c r="AE126" t="s">
        <v>1</v>
      </c>
      <c r="AF126" t="s">
        <v>2</v>
      </c>
      <c r="AG126" t="s">
        <v>0</v>
      </c>
    </row>
    <row r="127" spans="1:33" x14ac:dyDescent="0.3">
      <c r="A127" t="s">
        <v>26</v>
      </c>
      <c r="F127">
        <v>4</v>
      </c>
      <c r="H127">
        <v>1</v>
      </c>
      <c r="O127">
        <v>1</v>
      </c>
      <c r="P127">
        <v>2</v>
      </c>
      <c r="S127">
        <v>2</v>
      </c>
      <c r="W127">
        <v>1</v>
      </c>
      <c r="Z127">
        <v>4</v>
      </c>
      <c r="AF127">
        <v>3</v>
      </c>
    </row>
    <row r="128" spans="1:33" x14ac:dyDescent="0.3">
      <c r="A128" t="s">
        <v>18</v>
      </c>
      <c r="B128">
        <v>5475</v>
      </c>
      <c r="C128">
        <v>5625</v>
      </c>
      <c r="D128">
        <v>5900</v>
      </c>
      <c r="E128">
        <v>6100</v>
      </c>
      <c r="F128">
        <v>5850</v>
      </c>
      <c r="G128">
        <v>6575</v>
      </c>
      <c r="H128">
        <v>5730</v>
      </c>
      <c r="I128">
        <v>5195</v>
      </c>
      <c r="J128">
        <v>5295</v>
      </c>
      <c r="K128">
        <v>5500</v>
      </c>
      <c r="L128">
        <v>6325</v>
      </c>
      <c r="M128">
        <v>7050</v>
      </c>
      <c r="N128">
        <v>7215</v>
      </c>
      <c r="O128">
        <v>7540</v>
      </c>
      <c r="P128">
        <v>8055</v>
      </c>
      <c r="Q128">
        <v>7905</v>
      </c>
      <c r="R128">
        <v>8030</v>
      </c>
      <c r="S128">
        <v>7805</v>
      </c>
      <c r="T128">
        <v>7680</v>
      </c>
      <c r="U128">
        <v>8530</v>
      </c>
      <c r="V128">
        <v>8550</v>
      </c>
      <c r="W128">
        <v>8855</v>
      </c>
      <c r="X128">
        <v>8535</v>
      </c>
      <c r="Y128">
        <v>9270</v>
      </c>
      <c r="Z128">
        <v>9095</v>
      </c>
      <c r="AA128">
        <v>8545</v>
      </c>
      <c r="AB128">
        <v>9145</v>
      </c>
      <c r="AC128">
        <v>9295</v>
      </c>
      <c r="AD128">
        <v>9345</v>
      </c>
      <c r="AE128">
        <v>9620</v>
      </c>
      <c r="AF128">
        <v>9715</v>
      </c>
      <c r="AG128">
        <v>10170</v>
      </c>
    </row>
    <row r="129" spans="1:33" x14ac:dyDescent="0.3">
      <c r="A129" t="s">
        <v>20</v>
      </c>
      <c r="B129" s="2">
        <v>1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x14ac:dyDescent="0.3">
      <c r="A131" t="s">
        <v>27</v>
      </c>
      <c r="B131">
        <f>1892+3216+1428+2708+96+2624+3144+2476+2956+2888</f>
        <v>23428</v>
      </c>
      <c r="C131" t="s">
        <v>28</v>
      </c>
      <c r="D131">
        <v>40000</v>
      </c>
      <c r="E131" t="s">
        <v>29</v>
      </c>
      <c r="F131">
        <f>D131-B131</f>
        <v>16572</v>
      </c>
      <c r="G131" t="s">
        <v>49</v>
      </c>
      <c r="H131">
        <f>F131/4000*125</f>
        <v>517.875</v>
      </c>
    </row>
    <row r="132" spans="1:33" x14ac:dyDescent="0.3">
      <c r="A132" t="s">
        <v>50</v>
      </c>
      <c r="B132">
        <f>SUM(B127:AG127)</f>
        <v>18</v>
      </c>
      <c r="C132" t="s">
        <v>32</v>
      </c>
      <c r="D132">
        <v>40</v>
      </c>
      <c r="E132" t="s">
        <v>34</v>
      </c>
      <c r="F132">
        <f>D132/300*675</f>
        <v>90</v>
      </c>
    </row>
    <row r="133" spans="1:33" x14ac:dyDescent="0.3">
      <c r="A133" t="s">
        <v>37</v>
      </c>
      <c r="B133">
        <f>H131+F132+B132*125</f>
        <v>2857.875</v>
      </c>
    </row>
    <row r="135" spans="1:33" x14ac:dyDescent="0.3">
      <c r="A135" t="s">
        <v>38</v>
      </c>
      <c r="B135">
        <f>5000-B128</f>
        <v>-475</v>
      </c>
      <c r="C135">
        <f t="shared" ref="C135" si="35">B128-C128</f>
        <v>-150</v>
      </c>
      <c r="D135">
        <f t="shared" ref="D135" si="36">C128-D128</f>
        <v>-275</v>
      </c>
      <c r="E135">
        <f t="shared" ref="E135" si="37">D128-E128</f>
        <v>-200</v>
      </c>
      <c r="F135">
        <f t="shared" ref="F135" si="38">E128-F128</f>
        <v>250</v>
      </c>
      <c r="G135">
        <f t="shared" ref="G135" si="39">F128-G128</f>
        <v>-725</v>
      </c>
      <c r="H135">
        <f t="shared" ref="H135" si="40">G128-H128</f>
        <v>845</v>
      </c>
      <c r="I135">
        <f t="shared" ref="I135" si="41">H128-I128</f>
        <v>535</v>
      </c>
      <c r="J135">
        <f t="shared" ref="J135" si="42">I128-J128</f>
        <v>-100</v>
      </c>
      <c r="K135">
        <f t="shared" ref="K135" si="43">J128-K128</f>
        <v>-205</v>
      </c>
      <c r="L135">
        <f t="shared" ref="L135" si="44">K128-L128</f>
        <v>-825</v>
      </c>
      <c r="M135">
        <f t="shared" ref="M135" si="45">L128-M128</f>
        <v>-725</v>
      </c>
      <c r="N135">
        <f t="shared" ref="N135" si="46">M128-N128</f>
        <v>-165</v>
      </c>
      <c r="O135">
        <f t="shared" ref="O135" si="47">N128-O128</f>
        <v>-325</v>
      </c>
      <c r="P135">
        <f t="shared" ref="P135" si="48">O128-P128</f>
        <v>-515</v>
      </c>
      <c r="Q135">
        <f t="shared" ref="Q135" si="49">P128-Q128</f>
        <v>150</v>
      </c>
      <c r="R135">
        <f t="shared" ref="R135" si="50">Q128-R128</f>
        <v>-125</v>
      </c>
      <c r="S135">
        <f t="shared" ref="S135" si="51">R128-S128</f>
        <v>225</v>
      </c>
      <c r="T135">
        <f t="shared" ref="T135" si="52">S128-T128</f>
        <v>125</v>
      </c>
      <c r="U135">
        <f t="shared" ref="U135" si="53">T128-U128</f>
        <v>-850</v>
      </c>
      <c r="V135">
        <f t="shared" ref="V135" si="54">U128-V128</f>
        <v>-20</v>
      </c>
      <c r="W135">
        <f t="shared" ref="W135" si="55">V128-W128</f>
        <v>-305</v>
      </c>
      <c r="X135">
        <f t="shared" ref="X135" si="56">W128-X128</f>
        <v>320</v>
      </c>
      <c r="Y135">
        <f t="shared" ref="Y135" si="57">X128-Y128</f>
        <v>-735</v>
      </c>
      <c r="Z135">
        <f t="shared" ref="Z135" si="58">Y128-Z128</f>
        <v>175</v>
      </c>
      <c r="AA135">
        <f t="shared" ref="AA135" si="59">Z128-AA128</f>
        <v>550</v>
      </c>
      <c r="AB135">
        <f t="shared" ref="AB135" si="60">AA128-AB128</f>
        <v>-600</v>
      </c>
      <c r="AC135">
        <f t="shared" ref="AC135" si="61">AB128-AC128</f>
        <v>-150</v>
      </c>
      <c r="AD135">
        <f t="shared" ref="AD135" si="62">AC128-AD128</f>
        <v>-50</v>
      </c>
      <c r="AE135">
        <f t="shared" ref="AE135" si="63">AD128-AE128</f>
        <v>-275</v>
      </c>
      <c r="AF135">
        <f t="shared" ref="AF135" si="64">AE128-AF128</f>
        <v>-95</v>
      </c>
      <c r="AG135">
        <f t="shared" ref="AG135" si="65">AF128-AG128</f>
        <v>-455</v>
      </c>
    </row>
    <row r="136" spans="1:33" x14ac:dyDescent="0.3">
      <c r="A136" t="s">
        <v>39</v>
      </c>
      <c r="B136">
        <f t="shared" ref="B136:AG136" si="66">B135-125*B127-B130*75</f>
        <v>-475</v>
      </c>
      <c r="C136">
        <f t="shared" si="66"/>
        <v>-150</v>
      </c>
      <c r="D136">
        <f t="shared" si="66"/>
        <v>-275</v>
      </c>
      <c r="E136">
        <f t="shared" si="66"/>
        <v>-200</v>
      </c>
      <c r="F136">
        <f t="shared" si="66"/>
        <v>-250</v>
      </c>
      <c r="G136">
        <f t="shared" si="66"/>
        <v>-725</v>
      </c>
      <c r="H136">
        <f t="shared" si="66"/>
        <v>720</v>
      </c>
      <c r="I136">
        <f t="shared" si="66"/>
        <v>535</v>
      </c>
      <c r="J136">
        <f t="shared" si="66"/>
        <v>-100</v>
      </c>
      <c r="K136">
        <f t="shared" si="66"/>
        <v>-205</v>
      </c>
      <c r="L136">
        <f t="shared" si="66"/>
        <v>-825</v>
      </c>
      <c r="M136">
        <f t="shared" si="66"/>
        <v>-725</v>
      </c>
      <c r="N136">
        <f t="shared" si="66"/>
        <v>-165</v>
      </c>
      <c r="O136">
        <f t="shared" si="66"/>
        <v>-450</v>
      </c>
      <c r="P136">
        <f t="shared" si="66"/>
        <v>-765</v>
      </c>
      <c r="Q136">
        <f t="shared" si="66"/>
        <v>150</v>
      </c>
      <c r="R136">
        <f t="shared" si="66"/>
        <v>-125</v>
      </c>
      <c r="S136">
        <f t="shared" si="66"/>
        <v>-25</v>
      </c>
      <c r="T136">
        <f t="shared" si="66"/>
        <v>125</v>
      </c>
      <c r="U136">
        <f t="shared" si="66"/>
        <v>-850</v>
      </c>
      <c r="V136">
        <f t="shared" si="66"/>
        <v>-20</v>
      </c>
      <c r="W136">
        <f t="shared" si="66"/>
        <v>-430</v>
      </c>
      <c r="X136">
        <f t="shared" si="66"/>
        <v>320</v>
      </c>
      <c r="Y136">
        <f t="shared" si="66"/>
        <v>-735</v>
      </c>
      <c r="Z136">
        <f t="shared" si="66"/>
        <v>-325</v>
      </c>
      <c r="AA136">
        <f t="shared" si="66"/>
        <v>550</v>
      </c>
      <c r="AB136">
        <f t="shared" si="66"/>
        <v>-600</v>
      </c>
      <c r="AC136">
        <f t="shared" si="66"/>
        <v>-150</v>
      </c>
      <c r="AD136">
        <f t="shared" si="66"/>
        <v>-50</v>
      </c>
      <c r="AE136">
        <f t="shared" si="66"/>
        <v>-275</v>
      </c>
      <c r="AF136">
        <f t="shared" si="66"/>
        <v>-470</v>
      </c>
      <c r="AG136">
        <f t="shared" si="66"/>
        <v>-455</v>
      </c>
    </row>
    <row r="138" spans="1:33" x14ac:dyDescent="0.3">
      <c r="B138" t="s">
        <v>54</v>
      </c>
    </row>
    <row r="139" spans="1:33" x14ac:dyDescent="0.3">
      <c r="A139" t="str" cm="1">
        <f t="array" ref="A139:A170">TRANSPOSE(B126:AG126)</f>
        <v>2000-2002</v>
      </c>
      <c r="B139" cm="1">
        <f t="array" ref="B139:B170">TRANSPOSE(B136:AG136)</f>
        <v>-475</v>
      </c>
    </row>
    <row r="140" spans="1:33" x14ac:dyDescent="0.3">
      <c r="A140" t="str">
        <v>2002-2004</v>
      </c>
      <c r="B140">
        <v>-150</v>
      </c>
    </row>
    <row r="141" spans="1:33" x14ac:dyDescent="0.3">
      <c r="A141" t="str">
        <v>2004-2006</v>
      </c>
      <c r="B141">
        <v>-275</v>
      </c>
    </row>
    <row r="142" spans="1:33" x14ac:dyDescent="0.3">
      <c r="A142" t="str">
        <v>2006-2008</v>
      </c>
      <c r="B142">
        <v>-200</v>
      </c>
    </row>
    <row r="143" spans="1:33" x14ac:dyDescent="0.3">
      <c r="A143" t="str">
        <v>2008-2010</v>
      </c>
      <c r="B143">
        <v>-250</v>
      </c>
    </row>
    <row r="144" spans="1:33" x14ac:dyDescent="0.3">
      <c r="A144" t="str">
        <v>2010-2012</v>
      </c>
      <c r="B144">
        <v>-725</v>
      </c>
    </row>
    <row r="145" spans="1:2" x14ac:dyDescent="0.3">
      <c r="A145" t="str">
        <v>2012-2014</v>
      </c>
      <c r="B145">
        <v>720</v>
      </c>
    </row>
    <row r="146" spans="1:2" x14ac:dyDescent="0.3">
      <c r="A146" t="str">
        <v>2014-2016</v>
      </c>
      <c r="B146">
        <v>535</v>
      </c>
    </row>
    <row r="147" spans="1:2" x14ac:dyDescent="0.3">
      <c r="A147" t="str">
        <v>2016-2018</v>
      </c>
      <c r="B147">
        <v>-100</v>
      </c>
    </row>
    <row r="148" spans="1:2" x14ac:dyDescent="0.3">
      <c r="A148" t="str">
        <v>2000-2002</v>
      </c>
      <c r="B148">
        <v>-205</v>
      </c>
    </row>
    <row r="149" spans="1:2" x14ac:dyDescent="0.3">
      <c r="A149" t="str">
        <v>2002-2004</v>
      </c>
      <c r="B149">
        <v>-825</v>
      </c>
    </row>
    <row r="150" spans="1:2" x14ac:dyDescent="0.3">
      <c r="A150" t="str">
        <v>2004-2006</v>
      </c>
      <c r="B150">
        <v>-725</v>
      </c>
    </row>
    <row r="151" spans="1:2" x14ac:dyDescent="0.3">
      <c r="A151" t="str">
        <v>2006-2008</v>
      </c>
      <c r="B151">
        <v>-165</v>
      </c>
    </row>
    <row r="152" spans="1:2" x14ac:dyDescent="0.3">
      <c r="A152" t="str">
        <v>2008-2010</v>
      </c>
      <c r="B152">
        <v>-450</v>
      </c>
    </row>
    <row r="153" spans="1:2" x14ac:dyDescent="0.3">
      <c r="A153" t="str">
        <v>2010-2012</v>
      </c>
      <c r="B153">
        <v>-765</v>
      </c>
    </row>
    <row r="154" spans="1:2" x14ac:dyDescent="0.3">
      <c r="A154" t="str">
        <v>2000-2002</v>
      </c>
      <c r="B154">
        <v>150</v>
      </c>
    </row>
    <row r="155" spans="1:2" x14ac:dyDescent="0.3">
      <c r="A155" t="str">
        <v>2002-2004</v>
      </c>
      <c r="B155">
        <v>-125</v>
      </c>
    </row>
    <row r="156" spans="1:2" x14ac:dyDescent="0.3">
      <c r="A156" t="str">
        <v>2004-2006</v>
      </c>
      <c r="B156">
        <v>-25</v>
      </c>
    </row>
    <row r="157" spans="1:2" x14ac:dyDescent="0.3">
      <c r="A157" t="str">
        <v>2006-2008</v>
      </c>
      <c r="B157">
        <v>125</v>
      </c>
    </row>
    <row r="158" spans="1:2" x14ac:dyDescent="0.3">
      <c r="A158" t="str">
        <v>2008-2010</v>
      </c>
      <c r="B158">
        <v>-850</v>
      </c>
    </row>
    <row r="159" spans="1:2" x14ac:dyDescent="0.3">
      <c r="A159" t="str">
        <v>2000-2002</v>
      </c>
      <c r="B159">
        <v>-20</v>
      </c>
    </row>
    <row r="160" spans="1:2" x14ac:dyDescent="0.3">
      <c r="A160" t="str">
        <v>2002-2004</v>
      </c>
      <c r="B160">
        <v>-430</v>
      </c>
    </row>
    <row r="161" spans="1:33" x14ac:dyDescent="0.3">
      <c r="A161" t="str">
        <v>2004-2006</v>
      </c>
      <c r="B161">
        <v>320</v>
      </c>
    </row>
    <row r="162" spans="1:33" x14ac:dyDescent="0.3">
      <c r="A162" t="str">
        <v>2000-2002</v>
      </c>
      <c r="B162">
        <v>-735</v>
      </c>
    </row>
    <row r="163" spans="1:33" x14ac:dyDescent="0.3">
      <c r="A163" t="str">
        <v>2002-2004</v>
      </c>
      <c r="B163">
        <v>-325</v>
      </c>
    </row>
    <row r="164" spans="1:33" x14ac:dyDescent="0.3">
      <c r="A164" t="str">
        <v>2000-2002</v>
      </c>
      <c r="B164">
        <v>550</v>
      </c>
    </row>
    <row r="165" spans="1:33" x14ac:dyDescent="0.3">
      <c r="A165" t="str">
        <v>2002-2004</v>
      </c>
      <c r="B165">
        <v>-600</v>
      </c>
    </row>
    <row r="166" spans="1:33" x14ac:dyDescent="0.3">
      <c r="A166" t="str">
        <v>2004-2006</v>
      </c>
      <c r="B166">
        <v>-150</v>
      </c>
    </row>
    <row r="167" spans="1:33" x14ac:dyDescent="0.3">
      <c r="A167" t="str">
        <v>2000-2002</v>
      </c>
      <c r="B167">
        <v>-50</v>
      </c>
    </row>
    <row r="168" spans="1:33" x14ac:dyDescent="0.3">
      <c r="A168" t="str">
        <v>2002-2004</v>
      </c>
      <c r="B168">
        <v>-275</v>
      </c>
    </row>
    <row r="169" spans="1:33" x14ac:dyDescent="0.3">
      <c r="A169" t="str">
        <v>2004-2006</v>
      </c>
      <c r="B169">
        <v>-470</v>
      </c>
    </row>
    <row r="170" spans="1:33" x14ac:dyDescent="0.3">
      <c r="A170" t="str">
        <v>2000-2002</v>
      </c>
      <c r="B170">
        <v>-455</v>
      </c>
    </row>
    <row r="172" spans="1:33" x14ac:dyDescent="0.3">
      <c r="A172" t="s">
        <v>52</v>
      </c>
      <c r="B172">
        <f>B133/32</f>
        <v>89.30859375</v>
      </c>
    </row>
    <row r="174" spans="1:33" x14ac:dyDescent="0.3">
      <c r="F174" s="2" t="s">
        <v>55</v>
      </c>
      <c r="G174" s="2"/>
      <c r="H174" s="2"/>
      <c r="I174" s="2"/>
      <c r="J174" s="2"/>
      <c r="K174" s="2"/>
      <c r="L174" s="2"/>
      <c r="M174" s="2"/>
      <c r="N174" s="2"/>
      <c r="O174" s="2"/>
    </row>
    <row r="175" spans="1:33" x14ac:dyDescent="0.3">
      <c r="B175" t="s">
        <v>0</v>
      </c>
      <c r="C175" t="s">
        <v>1</v>
      </c>
      <c r="D175" t="s">
        <v>2</v>
      </c>
      <c r="E175" t="s">
        <v>3</v>
      </c>
      <c r="F175" t="s">
        <v>4</v>
      </c>
      <c r="G175" t="s">
        <v>5</v>
      </c>
      <c r="H175" t="s">
        <v>6</v>
      </c>
      <c r="I175" t="s">
        <v>7</v>
      </c>
      <c r="J175" t="s">
        <v>8</v>
      </c>
      <c r="K175" t="s">
        <v>0</v>
      </c>
      <c r="L175" t="s">
        <v>1</v>
      </c>
      <c r="M175" t="s">
        <v>2</v>
      </c>
      <c r="N175" t="s">
        <v>3</v>
      </c>
      <c r="O175" t="s">
        <v>4</v>
      </c>
      <c r="P175" t="s">
        <v>5</v>
      </c>
      <c r="Q175" t="s">
        <v>0</v>
      </c>
      <c r="R175" t="s">
        <v>1</v>
      </c>
      <c r="S175" t="s">
        <v>2</v>
      </c>
      <c r="T175" t="s">
        <v>3</v>
      </c>
      <c r="U175" t="s">
        <v>4</v>
      </c>
      <c r="V175" t="s">
        <v>0</v>
      </c>
      <c r="W175" t="s">
        <v>1</v>
      </c>
      <c r="X175" t="s">
        <v>2</v>
      </c>
      <c r="Y175" t="s">
        <v>0</v>
      </c>
      <c r="Z175" t="s">
        <v>1</v>
      </c>
      <c r="AA175" t="s">
        <v>0</v>
      </c>
      <c r="AB175" t="s">
        <v>1</v>
      </c>
      <c r="AC175" t="s">
        <v>2</v>
      </c>
      <c r="AD175" t="s">
        <v>0</v>
      </c>
      <c r="AE175" t="s">
        <v>1</v>
      </c>
      <c r="AF175" t="s">
        <v>2</v>
      </c>
      <c r="AG175" t="s">
        <v>0</v>
      </c>
    </row>
    <row r="176" spans="1:33" x14ac:dyDescent="0.3">
      <c r="A176" t="s">
        <v>26</v>
      </c>
      <c r="H176">
        <v>1</v>
      </c>
      <c r="K176">
        <v>4</v>
      </c>
      <c r="W176">
        <v>2</v>
      </c>
      <c r="Y176">
        <v>3</v>
      </c>
      <c r="AF176">
        <v>2</v>
      </c>
    </row>
    <row r="177" spans="1:33" x14ac:dyDescent="0.3">
      <c r="A177" t="s">
        <v>18</v>
      </c>
      <c r="B177">
        <v>5425</v>
      </c>
      <c r="C177">
        <v>5750</v>
      </c>
      <c r="D177">
        <v>5825</v>
      </c>
      <c r="E177">
        <v>5800</v>
      </c>
      <c r="F177">
        <v>5825</v>
      </c>
      <c r="G177">
        <v>6350</v>
      </c>
      <c r="H177">
        <v>5725</v>
      </c>
      <c r="I177">
        <v>5450</v>
      </c>
      <c r="J177">
        <v>5325</v>
      </c>
      <c r="K177">
        <v>4825</v>
      </c>
      <c r="L177">
        <v>5350</v>
      </c>
      <c r="M177">
        <v>5875</v>
      </c>
      <c r="N177">
        <v>5775</v>
      </c>
      <c r="O177">
        <v>6075</v>
      </c>
      <c r="P177">
        <v>6675</v>
      </c>
      <c r="Q177">
        <v>6500</v>
      </c>
      <c r="R177">
        <v>6300</v>
      </c>
      <c r="S177">
        <v>6075</v>
      </c>
      <c r="T177">
        <v>5750</v>
      </c>
      <c r="U177">
        <v>6275</v>
      </c>
      <c r="V177">
        <v>6025</v>
      </c>
      <c r="W177">
        <v>5725</v>
      </c>
      <c r="X177">
        <v>5250</v>
      </c>
      <c r="Y177">
        <v>5700</v>
      </c>
      <c r="Z177">
        <v>5525</v>
      </c>
      <c r="AA177">
        <v>5075</v>
      </c>
      <c r="AB177">
        <v>5500</v>
      </c>
      <c r="AC177">
        <v>5275</v>
      </c>
      <c r="AD177">
        <v>5000</v>
      </c>
      <c r="AE177">
        <v>4975</v>
      </c>
      <c r="AF177">
        <v>4975</v>
      </c>
      <c r="AG177">
        <v>4525</v>
      </c>
    </row>
    <row r="178" spans="1:33" x14ac:dyDescent="0.3">
      <c r="A178" t="s">
        <v>20</v>
      </c>
      <c r="B178" s="2">
        <v>1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x14ac:dyDescent="0.3">
      <c r="A180" t="s">
        <v>27</v>
      </c>
      <c r="B180">
        <f>3660+1780+748+752+3924+3252+2736+2564+3144+2276+3540</f>
        <v>28376</v>
      </c>
      <c r="C180" t="s">
        <v>28</v>
      </c>
      <c r="D180">
        <v>44000</v>
      </c>
      <c r="E180" t="s">
        <v>29</v>
      </c>
      <c r="F180">
        <f>D180-B180</f>
        <v>15624</v>
      </c>
      <c r="G180" t="s">
        <v>49</v>
      </c>
      <c r="H180">
        <f>F180/4000*125</f>
        <v>488.25</v>
      </c>
    </row>
    <row r="181" spans="1:33" x14ac:dyDescent="0.3">
      <c r="A181" t="s">
        <v>50</v>
      </c>
      <c r="B181">
        <f>SUM(B176:AG176)</f>
        <v>12</v>
      </c>
      <c r="C181" t="s">
        <v>32</v>
      </c>
      <c r="D181">
        <v>20</v>
      </c>
      <c r="E181" t="s">
        <v>34</v>
      </c>
      <c r="F181">
        <f>D181/300*675</f>
        <v>45</v>
      </c>
    </row>
    <row r="182" spans="1:33" x14ac:dyDescent="0.3">
      <c r="A182" t="s">
        <v>37</v>
      </c>
      <c r="B182">
        <f>H180+F181+B181*125</f>
        <v>2033.25</v>
      </c>
    </row>
    <row r="184" spans="1:33" x14ac:dyDescent="0.3">
      <c r="A184" t="s">
        <v>38</v>
      </c>
      <c r="B184">
        <f>5000-B177</f>
        <v>-425</v>
      </c>
      <c r="C184">
        <f t="shared" ref="C184" si="67">B177-C177</f>
        <v>-325</v>
      </c>
      <c r="D184">
        <f t="shared" ref="D184" si="68">C177-D177</f>
        <v>-75</v>
      </c>
      <c r="E184">
        <f t="shared" ref="E184" si="69">D177-E177</f>
        <v>25</v>
      </c>
      <c r="F184">
        <f t="shared" ref="F184" si="70">E177-F177</f>
        <v>-25</v>
      </c>
      <c r="G184">
        <f t="shared" ref="G184" si="71">F177-G177</f>
        <v>-525</v>
      </c>
      <c r="H184">
        <f t="shared" ref="H184" si="72">G177-H177</f>
        <v>625</v>
      </c>
      <c r="I184">
        <f t="shared" ref="I184" si="73">H177-I177</f>
        <v>275</v>
      </c>
      <c r="J184">
        <f t="shared" ref="J184" si="74">I177-J177</f>
        <v>125</v>
      </c>
      <c r="K184">
        <f t="shared" ref="K184" si="75">J177-K177</f>
        <v>500</v>
      </c>
      <c r="L184">
        <f t="shared" ref="L184" si="76">K177-L177</f>
        <v>-525</v>
      </c>
      <c r="M184">
        <f t="shared" ref="M184" si="77">L177-M177</f>
        <v>-525</v>
      </c>
      <c r="N184">
        <f t="shared" ref="N184" si="78">M177-N177</f>
        <v>100</v>
      </c>
      <c r="O184">
        <f t="shared" ref="O184" si="79">N177-O177</f>
        <v>-300</v>
      </c>
      <c r="P184">
        <f t="shared" ref="P184" si="80">O177-P177</f>
        <v>-600</v>
      </c>
      <c r="Q184">
        <f t="shared" ref="Q184" si="81">P177-Q177</f>
        <v>175</v>
      </c>
      <c r="R184">
        <f t="shared" ref="R184" si="82">Q177-R177</f>
        <v>200</v>
      </c>
      <c r="S184">
        <f t="shared" ref="S184" si="83">R177-S177</f>
        <v>225</v>
      </c>
      <c r="T184">
        <f t="shared" ref="T184" si="84">S177-T177</f>
        <v>325</v>
      </c>
      <c r="U184">
        <f t="shared" ref="U184" si="85">T177-U177</f>
        <v>-525</v>
      </c>
      <c r="V184">
        <f t="shared" ref="V184" si="86">U177-V177</f>
        <v>250</v>
      </c>
      <c r="W184">
        <f t="shared" ref="W184" si="87">V177-W177</f>
        <v>300</v>
      </c>
      <c r="X184">
        <f t="shared" ref="X184" si="88">W177-X177</f>
        <v>475</v>
      </c>
      <c r="Y184">
        <f t="shared" ref="Y184" si="89">X177-Y177</f>
        <v>-450</v>
      </c>
      <c r="Z184">
        <f t="shared" ref="Z184" si="90">Y177-Z177</f>
        <v>175</v>
      </c>
      <c r="AA184">
        <f t="shared" ref="AA184" si="91">Z177-AA177</f>
        <v>450</v>
      </c>
      <c r="AB184">
        <f t="shared" ref="AB184" si="92">AA177-AB177</f>
        <v>-425</v>
      </c>
      <c r="AC184">
        <f t="shared" ref="AC184" si="93">AB177-AC177</f>
        <v>225</v>
      </c>
      <c r="AD184">
        <f t="shared" ref="AD184" si="94">AC177-AD177</f>
        <v>275</v>
      </c>
      <c r="AE184">
        <f t="shared" ref="AE184" si="95">AD177-AE177</f>
        <v>25</v>
      </c>
      <c r="AF184">
        <f t="shared" ref="AF184" si="96">AE177-AF177</f>
        <v>0</v>
      </c>
      <c r="AG184">
        <f t="shared" ref="AG184" si="97">AF177-AG177</f>
        <v>450</v>
      </c>
    </row>
    <row r="185" spans="1:33" x14ac:dyDescent="0.3">
      <c r="A185" t="s">
        <v>39</v>
      </c>
      <c r="B185">
        <f t="shared" ref="B185:AG185" si="98">B184-125*B176-B179*75</f>
        <v>-425</v>
      </c>
      <c r="C185">
        <f t="shared" si="98"/>
        <v>-325</v>
      </c>
      <c r="D185">
        <f t="shared" si="98"/>
        <v>-75</v>
      </c>
      <c r="E185">
        <f t="shared" si="98"/>
        <v>25</v>
      </c>
      <c r="F185">
        <f t="shared" si="98"/>
        <v>-25</v>
      </c>
      <c r="G185">
        <f t="shared" si="98"/>
        <v>-525</v>
      </c>
      <c r="H185">
        <f t="shared" si="98"/>
        <v>500</v>
      </c>
      <c r="I185">
        <f t="shared" si="98"/>
        <v>275</v>
      </c>
      <c r="J185">
        <f t="shared" si="98"/>
        <v>125</v>
      </c>
      <c r="K185">
        <f t="shared" si="98"/>
        <v>0</v>
      </c>
      <c r="L185">
        <f t="shared" si="98"/>
        <v>-525</v>
      </c>
      <c r="M185">
        <f t="shared" si="98"/>
        <v>-525</v>
      </c>
      <c r="N185">
        <f t="shared" si="98"/>
        <v>100</v>
      </c>
      <c r="O185">
        <f t="shared" si="98"/>
        <v>-300</v>
      </c>
      <c r="P185">
        <f t="shared" si="98"/>
        <v>-600</v>
      </c>
      <c r="Q185">
        <f t="shared" si="98"/>
        <v>175</v>
      </c>
      <c r="R185">
        <f t="shared" si="98"/>
        <v>200</v>
      </c>
      <c r="S185">
        <f t="shared" si="98"/>
        <v>225</v>
      </c>
      <c r="T185">
        <f t="shared" si="98"/>
        <v>325</v>
      </c>
      <c r="U185">
        <f t="shared" si="98"/>
        <v>-525</v>
      </c>
      <c r="V185">
        <f t="shared" si="98"/>
        <v>250</v>
      </c>
      <c r="W185">
        <f t="shared" si="98"/>
        <v>50</v>
      </c>
      <c r="X185">
        <f t="shared" si="98"/>
        <v>475</v>
      </c>
      <c r="Y185">
        <f t="shared" si="98"/>
        <v>-825</v>
      </c>
      <c r="Z185">
        <f t="shared" si="98"/>
        <v>175</v>
      </c>
      <c r="AA185">
        <f t="shared" si="98"/>
        <v>450</v>
      </c>
      <c r="AB185">
        <f t="shared" si="98"/>
        <v>-425</v>
      </c>
      <c r="AC185">
        <f t="shared" si="98"/>
        <v>225</v>
      </c>
      <c r="AD185">
        <f t="shared" si="98"/>
        <v>275</v>
      </c>
      <c r="AE185">
        <f t="shared" si="98"/>
        <v>25</v>
      </c>
      <c r="AF185">
        <f t="shared" si="98"/>
        <v>-250</v>
      </c>
      <c r="AG185">
        <f t="shared" si="98"/>
        <v>450</v>
      </c>
    </row>
    <row r="187" spans="1:33" x14ac:dyDescent="0.3">
      <c r="B187" t="s">
        <v>54</v>
      </c>
    </row>
    <row r="188" spans="1:33" x14ac:dyDescent="0.3">
      <c r="A188" t="str" cm="1">
        <f t="array" ref="A188:A219">TRANSPOSE(B175:AG175)</f>
        <v>2000-2002</v>
      </c>
      <c r="B188" cm="1">
        <f t="array" ref="B188:B219">TRANSPOSE(B185:AG185)</f>
        <v>-425</v>
      </c>
    </row>
    <row r="189" spans="1:33" x14ac:dyDescent="0.3">
      <c r="A189" t="str">
        <v>2002-2004</v>
      </c>
      <c r="B189">
        <v>-325</v>
      </c>
    </row>
    <row r="190" spans="1:33" x14ac:dyDescent="0.3">
      <c r="A190" t="str">
        <v>2004-2006</v>
      </c>
      <c r="B190">
        <v>-75</v>
      </c>
    </row>
    <row r="191" spans="1:33" x14ac:dyDescent="0.3">
      <c r="A191" t="str">
        <v>2006-2008</v>
      </c>
      <c r="B191">
        <v>25</v>
      </c>
    </row>
    <row r="192" spans="1:33" x14ac:dyDescent="0.3">
      <c r="A192" t="str">
        <v>2008-2010</v>
      </c>
      <c r="B192">
        <v>-25</v>
      </c>
    </row>
    <row r="193" spans="1:2" x14ac:dyDescent="0.3">
      <c r="A193" t="str">
        <v>2010-2012</v>
      </c>
      <c r="B193">
        <v>-525</v>
      </c>
    </row>
    <row r="194" spans="1:2" x14ac:dyDescent="0.3">
      <c r="A194" t="str">
        <v>2012-2014</v>
      </c>
      <c r="B194">
        <v>500</v>
      </c>
    </row>
    <row r="195" spans="1:2" x14ac:dyDescent="0.3">
      <c r="A195" t="str">
        <v>2014-2016</v>
      </c>
      <c r="B195">
        <v>275</v>
      </c>
    </row>
    <row r="196" spans="1:2" x14ac:dyDescent="0.3">
      <c r="A196" t="str">
        <v>2016-2018</v>
      </c>
      <c r="B196">
        <v>125</v>
      </c>
    </row>
    <row r="197" spans="1:2" x14ac:dyDescent="0.3">
      <c r="A197" t="str">
        <v>2000-2002</v>
      </c>
      <c r="B197">
        <v>0</v>
      </c>
    </row>
    <row r="198" spans="1:2" x14ac:dyDescent="0.3">
      <c r="A198" t="str">
        <v>2002-2004</v>
      </c>
      <c r="B198">
        <v>-525</v>
      </c>
    </row>
    <row r="199" spans="1:2" x14ac:dyDescent="0.3">
      <c r="A199" t="str">
        <v>2004-2006</v>
      </c>
      <c r="B199">
        <v>-525</v>
      </c>
    </row>
    <row r="200" spans="1:2" x14ac:dyDescent="0.3">
      <c r="A200" t="str">
        <v>2006-2008</v>
      </c>
      <c r="B200">
        <v>100</v>
      </c>
    </row>
    <row r="201" spans="1:2" x14ac:dyDescent="0.3">
      <c r="A201" t="str">
        <v>2008-2010</v>
      </c>
      <c r="B201">
        <v>-300</v>
      </c>
    </row>
    <row r="202" spans="1:2" x14ac:dyDescent="0.3">
      <c r="A202" t="str">
        <v>2010-2012</v>
      </c>
      <c r="B202">
        <v>-600</v>
      </c>
    </row>
    <row r="203" spans="1:2" x14ac:dyDescent="0.3">
      <c r="A203" t="str">
        <v>2000-2002</v>
      </c>
      <c r="B203">
        <v>175</v>
      </c>
    </row>
    <row r="204" spans="1:2" x14ac:dyDescent="0.3">
      <c r="A204" t="str">
        <v>2002-2004</v>
      </c>
      <c r="B204">
        <v>200</v>
      </c>
    </row>
    <row r="205" spans="1:2" x14ac:dyDescent="0.3">
      <c r="A205" t="str">
        <v>2004-2006</v>
      </c>
      <c r="B205">
        <v>225</v>
      </c>
    </row>
    <row r="206" spans="1:2" x14ac:dyDescent="0.3">
      <c r="A206" t="str">
        <v>2006-2008</v>
      </c>
      <c r="B206">
        <v>325</v>
      </c>
    </row>
    <row r="207" spans="1:2" x14ac:dyDescent="0.3">
      <c r="A207" t="str">
        <v>2008-2010</v>
      </c>
      <c r="B207">
        <v>-525</v>
      </c>
    </row>
    <row r="208" spans="1:2" x14ac:dyDescent="0.3">
      <c r="A208" t="str">
        <v>2000-2002</v>
      </c>
      <c r="B208">
        <v>250</v>
      </c>
    </row>
    <row r="209" spans="1:15" x14ac:dyDescent="0.3">
      <c r="A209" t="str">
        <v>2002-2004</v>
      </c>
      <c r="B209">
        <v>50</v>
      </c>
    </row>
    <row r="210" spans="1:15" x14ac:dyDescent="0.3">
      <c r="A210" t="str">
        <v>2004-2006</v>
      </c>
      <c r="B210">
        <v>475</v>
      </c>
    </row>
    <row r="211" spans="1:15" x14ac:dyDescent="0.3">
      <c r="A211" t="str">
        <v>2000-2002</v>
      </c>
      <c r="B211">
        <v>-825</v>
      </c>
    </row>
    <row r="212" spans="1:15" x14ac:dyDescent="0.3">
      <c r="A212" t="str">
        <v>2002-2004</v>
      </c>
      <c r="B212">
        <v>175</v>
      </c>
    </row>
    <row r="213" spans="1:15" x14ac:dyDescent="0.3">
      <c r="A213" t="str">
        <v>2000-2002</v>
      </c>
      <c r="B213">
        <v>450</v>
      </c>
    </row>
    <row r="214" spans="1:15" x14ac:dyDescent="0.3">
      <c r="A214" t="str">
        <v>2002-2004</v>
      </c>
      <c r="B214">
        <v>-425</v>
      </c>
    </row>
    <row r="215" spans="1:15" x14ac:dyDescent="0.3">
      <c r="A215" t="str">
        <v>2004-2006</v>
      </c>
      <c r="B215">
        <v>225</v>
      </c>
    </row>
    <row r="216" spans="1:15" x14ac:dyDescent="0.3">
      <c r="A216" t="str">
        <v>2000-2002</v>
      </c>
      <c r="B216">
        <v>275</v>
      </c>
    </row>
    <row r="217" spans="1:15" x14ac:dyDescent="0.3">
      <c r="A217" t="str">
        <v>2002-2004</v>
      </c>
      <c r="B217">
        <v>25</v>
      </c>
    </row>
    <row r="218" spans="1:15" x14ac:dyDescent="0.3">
      <c r="A218" t="str">
        <v>2004-2006</v>
      </c>
      <c r="B218">
        <v>-250</v>
      </c>
    </row>
    <row r="219" spans="1:15" x14ac:dyDescent="0.3">
      <c r="A219" t="str">
        <v>2000-2002</v>
      </c>
      <c r="B219">
        <v>450</v>
      </c>
    </row>
    <row r="222" spans="1:15" x14ac:dyDescent="0.3">
      <c r="A222" t="s">
        <v>52</v>
      </c>
      <c r="B222">
        <f>B182/32</f>
        <v>63.5390625</v>
      </c>
    </row>
    <row r="224" spans="1:15" x14ac:dyDescent="0.3">
      <c r="F224" s="2" t="s">
        <v>56</v>
      </c>
      <c r="G224" s="2"/>
      <c r="H224" s="2"/>
      <c r="I224" s="2"/>
      <c r="J224" s="2"/>
      <c r="K224" s="2"/>
      <c r="L224" s="2"/>
      <c r="M224" s="2"/>
      <c r="N224" s="2"/>
      <c r="O224" s="2"/>
    </row>
    <row r="225" spans="1:33" x14ac:dyDescent="0.3"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5</v>
      </c>
      <c r="H225" t="s">
        <v>6</v>
      </c>
      <c r="I225" t="s">
        <v>7</v>
      </c>
      <c r="J225" t="s">
        <v>8</v>
      </c>
      <c r="K225" t="s">
        <v>0</v>
      </c>
      <c r="L225" t="s">
        <v>1</v>
      </c>
      <c r="M225" t="s">
        <v>2</v>
      </c>
      <c r="N225" t="s">
        <v>3</v>
      </c>
      <c r="O225" t="s">
        <v>4</v>
      </c>
      <c r="P225" t="s">
        <v>5</v>
      </c>
      <c r="Q225" t="s">
        <v>6</v>
      </c>
      <c r="R225" t="s">
        <v>7</v>
      </c>
      <c r="S225" t="s">
        <v>0</v>
      </c>
      <c r="T225" t="s">
        <v>1</v>
      </c>
      <c r="U225" t="s">
        <v>2</v>
      </c>
      <c r="V225" t="s">
        <v>3</v>
      </c>
      <c r="W225" t="s">
        <v>4</v>
      </c>
      <c r="X225" t="s">
        <v>5</v>
      </c>
      <c r="Y225" t="s">
        <v>0</v>
      </c>
      <c r="Z225" t="s">
        <v>1</v>
      </c>
      <c r="AA225" t="s">
        <v>2</v>
      </c>
      <c r="AB225" t="s">
        <v>3</v>
      </c>
      <c r="AC225" t="s">
        <v>4</v>
      </c>
      <c r="AD225" t="s">
        <v>0</v>
      </c>
      <c r="AE225" t="s">
        <v>1</v>
      </c>
      <c r="AF225" t="s">
        <v>2</v>
      </c>
      <c r="AG225" t="s">
        <v>0</v>
      </c>
    </row>
    <row r="226" spans="1:33" x14ac:dyDescent="0.3">
      <c r="A226" t="s">
        <v>52</v>
      </c>
      <c r="E226">
        <v>125</v>
      </c>
      <c r="F226">
        <v>125</v>
      </c>
      <c r="G226">
        <v>600</v>
      </c>
      <c r="I226">
        <v>250</v>
      </c>
      <c r="J226">
        <v>500</v>
      </c>
      <c r="L226">
        <v>350</v>
      </c>
      <c r="R226">
        <v>125</v>
      </c>
      <c r="T226">
        <v>250</v>
      </c>
      <c r="V226">
        <v>850</v>
      </c>
      <c r="X226">
        <v>250</v>
      </c>
      <c r="Y226">
        <v>475</v>
      </c>
      <c r="AA226">
        <v>750</v>
      </c>
      <c r="AD226">
        <v>125</v>
      </c>
      <c r="AE226">
        <v>500</v>
      </c>
      <c r="AF226">
        <v>250</v>
      </c>
    </row>
    <row r="227" spans="1:33" x14ac:dyDescent="0.3">
      <c r="A227" t="s">
        <v>18</v>
      </c>
      <c r="B227">
        <v>6025</v>
      </c>
      <c r="C227">
        <v>6125</v>
      </c>
      <c r="D227">
        <v>6950</v>
      </c>
      <c r="E227">
        <v>7550</v>
      </c>
      <c r="F227">
        <v>8475</v>
      </c>
      <c r="G227">
        <v>8175</v>
      </c>
      <c r="H227">
        <v>9650</v>
      </c>
      <c r="I227">
        <v>9350</v>
      </c>
      <c r="J227">
        <v>9050</v>
      </c>
      <c r="K227">
        <v>9450</v>
      </c>
      <c r="L227">
        <v>10550</v>
      </c>
      <c r="M227">
        <v>11550</v>
      </c>
      <c r="N227">
        <v>10725</v>
      </c>
      <c r="O227">
        <v>10650</v>
      </c>
      <c r="P227">
        <v>11675</v>
      </c>
      <c r="Q227">
        <v>12225</v>
      </c>
      <c r="R227">
        <v>12100</v>
      </c>
      <c r="S227">
        <v>12900</v>
      </c>
      <c r="T227">
        <v>12825</v>
      </c>
      <c r="U227">
        <v>12550</v>
      </c>
      <c r="V227">
        <v>11725</v>
      </c>
      <c r="W227">
        <v>10550</v>
      </c>
      <c r="X227">
        <v>11425</v>
      </c>
      <c r="Y227">
        <v>11175</v>
      </c>
      <c r="Z227">
        <v>12625</v>
      </c>
      <c r="AA227">
        <v>13450</v>
      </c>
      <c r="AB227">
        <v>12450</v>
      </c>
      <c r="AC227">
        <v>13975</v>
      </c>
      <c r="AD227">
        <v>15050</v>
      </c>
      <c r="AE227">
        <v>15825</v>
      </c>
      <c r="AF227">
        <v>14950</v>
      </c>
      <c r="AG227">
        <v>13475</v>
      </c>
    </row>
    <row r="228" spans="1:3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x14ac:dyDescent="0.3">
      <c r="A229" t="s">
        <v>27</v>
      </c>
      <c r="B229">
        <f>1664+1728+3340+224-164-280-96</f>
        <v>6416</v>
      </c>
      <c r="C229" t="s">
        <v>28</v>
      </c>
      <c r="D229">
        <v>20000</v>
      </c>
      <c r="E229" t="s">
        <v>29</v>
      </c>
      <c r="F229">
        <f>D229-B229</f>
        <v>13584</v>
      </c>
      <c r="G229" t="s">
        <v>49</v>
      </c>
      <c r="H229">
        <f>F229/4000*125</f>
        <v>424.5</v>
      </c>
    </row>
    <row r="230" spans="1:33" x14ac:dyDescent="0.3">
      <c r="C230" t="s">
        <v>32</v>
      </c>
      <c r="D230">
        <v>24</v>
      </c>
      <c r="E230" t="s">
        <v>34</v>
      </c>
      <c r="F230">
        <f>D230/300*700</f>
        <v>56</v>
      </c>
    </row>
    <row r="231" spans="1:33" x14ac:dyDescent="0.3">
      <c r="A231" t="s">
        <v>37</v>
      </c>
      <c r="B231">
        <f>H229+F230+SUM(B226:AG226)+100</f>
        <v>6105.5</v>
      </c>
    </row>
    <row r="233" spans="1:33" x14ac:dyDescent="0.3">
      <c r="A233" t="s">
        <v>38</v>
      </c>
      <c r="B233">
        <f>5000-B227</f>
        <v>-1025</v>
      </c>
      <c r="C233">
        <f t="shared" ref="C233:AG233" si="99">B227-C227</f>
        <v>-100</v>
      </c>
      <c r="D233">
        <f t="shared" si="99"/>
        <v>-825</v>
      </c>
      <c r="E233">
        <f t="shared" si="99"/>
        <v>-600</v>
      </c>
      <c r="F233">
        <f t="shared" si="99"/>
        <v>-925</v>
      </c>
      <c r="G233">
        <f t="shared" si="99"/>
        <v>300</v>
      </c>
      <c r="H233">
        <f t="shared" si="99"/>
        <v>-1475</v>
      </c>
      <c r="I233">
        <f t="shared" si="99"/>
        <v>300</v>
      </c>
      <c r="J233">
        <f t="shared" si="99"/>
        <v>300</v>
      </c>
      <c r="K233">
        <f t="shared" si="99"/>
        <v>-400</v>
      </c>
      <c r="L233">
        <f t="shared" si="99"/>
        <v>-1100</v>
      </c>
      <c r="M233">
        <f t="shared" si="99"/>
        <v>-1000</v>
      </c>
      <c r="N233">
        <f t="shared" si="99"/>
        <v>825</v>
      </c>
      <c r="O233">
        <f t="shared" si="99"/>
        <v>75</v>
      </c>
      <c r="P233">
        <f t="shared" si="99"/>
        <v>-1025</v>
      </c>
      <c r="Q233">
        <f t="shared" si="99"/>
        <v>-550</v>
      </c>
      <c r="R233">
        <f t="shared" si="99"/>
        <v>125</v>
      </c>
      <c r="S233">
        <f t="shared" si="99"/>
        <v>-800</v>
      </c>
      <c r="T233">
        <f t="shared" si="99"/>
        <v>75</v>
      </c>
      <c r="U233">
        <f t="shared" si="99"/>
        <v>275</v>
      </c>
      <c r="V233">
        <f t="shared" si="99"/>
        <v>825</v>
      </c>
      <c r="W233">
        <f t="shared" si="99"/>
        <v>1175</v>
      </c>
      <c r="X233">
        <f t="shared" si="99"/>
        <v>-875</v>
      </c>
      <c r="Y233">
        <f t="shared" si="99"/>
        <v>250</v>
      </c>
      <c r="Z233">
        <f t="shared" si="99"/>
        <v>-1450</v>
      </c>
      <c r="AA233">
        <f t="shared" si="99"/>
        <v>-825</v>
      </c>
      <c r="AB233">
        <f t="shared" si="99"/>
        <v>1000</v>
      </c>
      <c r="AC233">
        <f t="shared" si="99"/>
        <v>-1525</v>
      </c>
      <c r="AD233">
        <f t="shared" si="99"/>
        <v>-1075</v>
      </c>
      <c r="AE233">
        <f t="shared" si="99"/>
        <v>-775</v>
      </c>
      <c r="AF233">
        <f t="shared" si="99"/>
        <v>875</v>
      </c>
      <c r="AG233">
        <f t="shared" si="99"/>
        <v>1475</v>
      </c>
    </row>
    <row r="234" spans="1:33" x14ac:dyDescent="0.3">
      <c r="A234" t="s">
        <v>39</v>
      </c>
      <c r="B234">
        <f t="shared" ref="B234:AG234" si="100">B233-B226</f>
        <v>-1025</v>
      </c>
      <c r="C234">
        <f t="shared" si="100"/>
        <v>-100</v>
      </c>
      <c r="D234">
        <f t="shared" si="100"/>
        <v>-825</v>
      </c>
      <c r="E234">
        <f t="shared" si="100"/>
        <v>-725</v>
      </c>
      <c r="F234">
        <f t="shared" si="100"/>
        <v>-1050</v>
      </c>
      <c r="G234">
        <f t="shared" si="100"/>
        <v>-300</v>
      </c>
      <c r="H234">
        <f t="shared" si="100"/>
        <v>-1475</v>
      </c>
      <c r="I234">
        <f t="shared" si="100"/>
        <v>50</v>
      </c>
      <c r="J234">
        <f t="shared" si="100"/>
        <v>-200</v>
      </c>
      <c r="K234">
        <f t="shared" si="100"/>
        <v>-400</v>
      </c>
      <c r="L234">
        <f t="shared" si="100"/>
        <v>-1450</v>
      </c>
      <c r="M234">
        <f t="shared" si="100"/>
        <v>-1000</v>
      </c>
      <c r="N234">
        <f t="shared" si="100"/>
        <v>825</v>
      </c>
      <c r="O234">
        <f t="shared" si="100"/>
        <v>75</v>
      </c>
      <c r="P234">
        <f t="shared" si="100"/>
        <v>-1025</v>
      </c>
      <c r="Q234">
        <f t="shared" si="100"/>
        <v>-550</v>
      </c>
      <c r="R234">
        <f t="shared" si="100"/>
        <v>0</v>
      </c>
      <c r="S234">
        <f t="shared" si="100"/>
        <v>-800</v>
      </c>
      <c r="T234">
        <f t="shared" si="100"/>
        <v>-175</v>
      </c>
      <c r="U234">
        <f t="shared" si="100"/>
        <v>275</v>
      </c>
      <c r="V234">
        <f t="shared" si="100"/>
        <v>-25</v>
      </c>
      <c r="W234">
        <f t="shared" si="100"/>
        <v>1175</v>
      </c>
      <c r="X234">
        <f t="shared" si="100"/>
        <v>-1125</v>
      </c>
      <c r="Y234">
        <f t="shared" si="100"/>
        <v>-225</v>
      </c>
      <c r="Z234">
        <f t="shared" si="100"/>
        <v>-1450</v>
      </c>
      <c r="AA234">
        <f t="shared" si="100"/>
        <v>-1575</v>
      </c>
      <c r="AB234">
        <f t="shared" si="100"/>
        <v>1000</v>
      </c>
      <c r="AC234">
        <f t="shared" si="100"/>
        <v>-1525</v>
      </c>
      <c r="AD234">
        <f t="shared" si="100"/>
        <v>-1200</v>
      </c>
      <c r="AE234">
        <f t="shared" si="100"/>
        <v>-1275</v>
      </c>
      <c r="AF234">
        <f t="shared" si="100"/>
        <v>625</v>
      </c>
      <c r="AG234">
        <f t="shared" si="100"/>
        <v>1475</v>
      </c>
    </row>
    <row r="236" spans="1:33" x14ac:dyDescent="0.3">
      <c r="B236" t="str" cm="1">
        <f t="array" ref="B236:B268">TRANSPOSE(A234:AG234)</f>
        <v>Y .adj</v>
      </c>
    </row>
    <row r="237" spans="1:33" x14ac:dyDescent="0.3">
      <c r="A237" t="str" cm="1">
        <f t="array" ref="A237:A268">TRANSPOSE(B225:AG225)</f>
        <v>2000-2002</v>
      </c>
      <c r="B237">
        <v>-1025</v>
      </c>
    </row>
    <row r="238" spans="1:33" x14ac:dyDescent="0.3">
      <c r="A238" t="str">
        <v>2002-2004</v>
      </c>
      <c r="B238">
        <v>-100</v>
      </c>
    </row>
    <row r="239" spans="1:33" x14ac:dyDescent="0.3">
      <c r="A239" t="str">
        <v>2004-2006</v>
      </c>
      <c r="B239">
        <v>-825</v>
      </c>
    </row>
    <row r="240" spans="1:33" x14ac:dyDescent="0.3">
      <c r="A240" t="str">
        <v>2006-2008</v>
      </c>
      <c r="B240">
        <v>-725</v>
      </c>
    </row>
    <row r="241" spans="1:2" x14ac:dyDescent="0.3">
      <c r="A241" t="str">
        <v>2008-2010</v>
      </c>
      <c r="B241">
        <v>-1050</v>
      </c>
    </row>
    <row r="242" spans="1:2" x14ac:dyDescent="0.3">
      <c r="A242" t="str">
        <v>2010-2012</v>
      </c>
      <c r="B242">
        <v>-300</v>
      </c>
    </row>
    <row r="243" spans="1:2" x14ac:dyDescent="0.3">
      <c r="A243" t="str">
        <v>2012-2014</v>
      </c>
      <c r="B243">
        <v>-1475</v>
      </c>
    </row>
    <row r="244" spans="1:2" x14ac:dyDescent="0.3">
      <c r="A244" t="str">
        <v>2014-2016</v>
      </c>
      <c r="B244">
        <v>50</v>
      </c>
    </row>
    <row r="245" spans="1:2" x14ac:dyDescent="0.3">
      <c r="A245" t="str">
        <v>2016-2018</v>
      </c>
      <c r="B245">
        <v>-200</v>
      </c>
    </row>
    <row r="246" spans="1:2" x14ac:dyDescent="0.3">
      <c r="A246" t="str">
        <v>2000-2002</v>
      </c>
      <c r="B246">
        <v>-400</v>
      </c>
    </row>
    <row r="247" spans="1:2" x14ac:dyDescent="0.3">
      <c r="A247" t="str">
        <v>2002-2004</v>
      </c>
      <c r="B247">
        <v>-1450</v>
      </c>
    </row>
    <row r="248" spans="1:2" x14ac:dyDescent="0.3">
      <c r="A248" t="str">
        <v>2004-2006</v>
      </c>
      <c r="B248">
        <v>-1000</v>
      </c>
    </row>
    <row r="249" spans="1:2" x14ac:dyDescent="0.3">
      <c r="A249" t="str">
        <v>2006-2008</v>
      </c>
      <c r="B249">
        <v>825</v>
      </c>
    </row>
    <row r="250" spans="1:2" x14ac:dyDescent="0.3">
      <c r="A250" t="str">
        <v>2008-2010</v>
      </c>
      <c r="B250">
        <v>75</v>
      </c>
    </row>
    <row r="251" spans="1:2" x14ac:dyDescent="0.3">
      <c r="A251" t="str">
        <v>2010-2012</v>
      </c>
      <c r="B251">
        <v>-1025</v>
      </c>
    </row>
    <row r="252" spans="1:2" x14ac:dyDescent="0.3">
      <c r="A252" t="str">
        <v>2012-2014</v>
      </c>
      <c r="B252">
        <v>-550</v>
      </c>
    </row>
    <row r="253" spans="1:2" x14ac:dyDescent="0.3">
      <c r="A253" t="str">
        <v>2014-2016</v>
      </c>
      <c r="B253">
        <v>0</v>
      </c>
    </row>
    <row r="254" spans="1:2" x14ac:dyDescent="0.3">
      <c r="A254" t="str">
        <v>2000-2002</v>
      </c>
      <c r="B254">
        <v>-800</v>
      </c>
    </row>
    <row r="255" spans="1:2" x14ac:dyDescent="0.3">
      <c r="A255" t="str">
        <v>2002-2004</v>
      </c>
      <c r="B255">
        <v>-175</v>
      </c>
    </row>
    <row r="256" spans="1:2" x14ac:dyDescent="0.3">
      <c r="A256" t="str">
        <v>2004-2006</v>
      </c>
      <c r="B256">
        <v>275</v>
      </c>
    </row>
    <row r="257" spans="1:2" x14ac:dyDescent="0.3">
      <c r="A257" t="str">
        <v>2006-2008</v>
      </c>
      <c r="B257">
        <v>-25</v>
      </c>
    </row>
    <row r="258" spans="1:2" x14ac:dyDescent="0.3">
      <c r="A258" t="str">
        <v>2008-2010</v>
      </c>
      <c r="B258">
        <v>1175</v>
      </c>
    </row>
    <row r="259" spans="1:2" x14ac:dyDescent="0.3">
      <c r="A259" t="str">
        <v>2010-2012</v>
      </c>
      <c r="B259">
        <v>-1125</v>
      </c>
    </row>
    <row r="260" spans="1:2" x14ac:dyDescent="0.3">
      <c r="A260" t="str">
        <v>2000-2002</v>
      </c>
      <c r="B260">
        <v>-225</v>
      </c>
    </row>
    <row r="261" spans="1:2" x14ac:dyDescent="0.3">
      <c r="A261" t="str">
        <v>2002-2004</v>
      </c>
      <c r="B261">
        <v>-1450</v>
      </c>
    </row>
    <row r="262" spans="1:2" x14ac:dyDescent="0.3">
      <c r="A262" t="str">
        <v>2004-2006</v>
      </c>
      <c r="B262">
        <v>-1575</v>
      </c>
    </row>
    <row r="263" spans="1:2" x14ac:dyDescent="0.3">
      <c r="A263" t="str">
        <v>2006-2008</v>
      </c>
      <c r="B263">
        <v>1000</v>
      </c>
    </row>
    <row r="264" spans="1:2" x14ac:dyDescent="0.3">
      <c r="A264" t="str">
        <v>2008-2010</v>
      </c>
      <c r="B264">
        <v>-1525</v>
      </c>
    </row>
    <row r="265" spans="1:2" x14ac:dyDescent="0.3">
      <c r="A265" t="str">
        <v>2000-2002</v>
      </c>
      <c r="B265">
        <v>-1200</v>
      </c>
    </row>
    <row r="266" spans="1:2" x14ac:dyDescent="0.3">
      <c r="A266" t="str">
        <v>2002-2004</v>
      </c>
      <c r="B266">
        <v>-1275</v>
      </c>
    </row>
    <row r="267" spans="1:2" x14ac:dyDescent="0.3">
      <c r="A267" t="str">
        <v>2004-2006</v>
      </c>
      <c r="B267">
        <v>625</v>
      </c>
    </row>
    <row r="268" spans="1:2" x14ac:dyDescent="0.3">
      <c r="A268" t="str">
        <v>2000-2002</v>
      </c>
      <c r="B268">
        <v>1475</v>
      </c>
    </row>
    <row r="270" spans="1:2" x14ac:dyDescent="0.3">
      <c r="A270" t="s">
        <v>57</v>
      </c>
      <c r="B270">
        <f>B231/32</f>
        <v>190.796875</v>
      </c>
    </row>
  </sheetData>
  <mergeCells count="8">
    <mergeCell ref="F224:O224"/>
    <mergeCell ref="F16:O16"/>
    <mergeCell ref="F73:O73"/>
    <mergeCell ref="B77:AG77"/>
    <mergeCell ref="F174:O174"/>
    <mergeCell ref="B178:AG178"/>
    <mergeCell ref="F125:O125"/>
    <mergeCell ref="B129:AG1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花崎桜雪</dc:creator>
  <cp:lastModifiedBy>桜雪 花崎</cp:lastModifiedBy>
  <dcterms:created xsi:type="dcterms:W3CDTF">2015-06-05T18:19:34Z</dcterms:created>
  <dcterms:modified xsi:type="dcterms:W3CDTF">2026-02-21T08:46:05Z</dcterms:modified>
</cp:coreProperties>
</file>