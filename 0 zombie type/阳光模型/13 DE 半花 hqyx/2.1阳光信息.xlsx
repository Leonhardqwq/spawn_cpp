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855" windowHeight="9270" activeTab="6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  <sheet name="破阵率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<sst xmlns="http://schemas.openxmlformats.org/spreadsheetml/2006/main" count="221" uniqueCount="72">
  <si>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</si>
  <si>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</si>
  <si>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</si>
  <si>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</si>
  <si>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</si>
  <si>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</si>
  <si>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</si>
  <si>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</si>
  <si>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</si>
  <si>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</si>
  <si>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</si>
  <si>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</si>
  <si>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</si>
  <si>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</si>
  <si>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</si>
  <si>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</si>
  <si>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</si>
  <si>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</si>
  <si>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</si>
  <si>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</si>
  <si>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</si>
  <si>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</si>
  <si>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</si>
  <si>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</si>
  <si>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</si>
  <si>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</si>
  <si>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</si>
  <si>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</si>
  <si>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</si>
  <si>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</si>
  <si>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</si>
  <si>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阳光变化</t>
  </si>
  <si>
    <t>2000f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</si>
  <si>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</si>
  <si>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</si>
  <si>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</si>
  <si>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</si>
  <si>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</si>
  <si>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</si>
  <si>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</si>
  <si>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</si>
  <si>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</si>
  <si>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其他损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</si>
  <si>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</si>
  <si>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</si>
  <si>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</si>
  <si>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</si>
  <si>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</si>
  <si>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</si>
  <si>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</si>
  <si>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</si>
  <si>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</si>
  <si>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红眼:舞王</t>
  </si>
  <si>
    <t>红眼:白眼</t>
  </si>
  <si>
    <t>橄榄:冰车</t>
  </si>
  <si>
    <t>橄榄:密度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</si>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</sst>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4" applyNumberFormat="0" applyAlignment="0" applyProtection="0">
      <alignment vertical="center"/>
    </xf>
    <xf numFmtId="0" fontId="12" fillId="5" borderId="25" applyNumberFormat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0" fillId="0" borderId="0" xfId="0" applyNumberFormat="1" applyAlignment="1">
      <alignment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 wrapText="1"/>
    </xf>
    <xf numFmtId="176" fontId="0" fillId="0" borderId="8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2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5000</c:v>
                </c:pt>
                <c:pt idx="1">
                  <c:v>5834.2</c:v>
                </c:pt>
                <c:pt idx="2">
                  <c:v>5743.4</c:v>
                </c:pt>
                <c:pt idx="3">
                  <c:v>6377.6</c:v>
                </c:pt>
                <c:pt idx="4">
                  <c:v>6911.8</c:v>
                </c:pt>
                <c:pt idx="5">
                  <c:v>7771</c:v>
                </c:pt>
                <c:pt idx="6">
                  <c:v>7880.2</c:v>
                </c:pt>
                <c:pt idx="7">
                  <c:v>9164.4</c:v>
                </c:pt>
                <c:pt idx="8">
                  <c:v>8923.6</c:v>
                </c:pt>
                <c:pt idx="9">
                  <c:v>8932.8</c:v>
                </c:pt>
                <c:pt idx="10">
                  <c:v>9142</c:v>
                </c:pt>
                <c:pt idx="11">
                  <c:v>10401.2</c:v>
                </c:pt>
                <c:pt idx="12">
                  <c:v>11210.4</c:v>
                </c:pt>
                <c:pt idx="13">
                  <c:v>10194.6</c:v>
                </c:pt>
                <c:pt idx="14">
                  <c:v>9928.8</c:v>
                </c:pt>
                <c:pt idx="15">
                  <c:v>10763</c:v>
                </c:pt>
                <c:pt idx="16">
                  <c:v>11122.2</c:v>
                </c:pt>
                <c:pt idx="17">
                  <c:v>10931.4</c:v>
                </c:pt>
                <c:pt idx="18">
                  <c:v>11540.6</c:v>
                </c:pt>
                <c:pt idx="19">
                  <c:v>11524.8</c:v>
                </c:pt>
                <c:pt idx="20">
                  <c:v>11059</c:v>
                </c:pt>
                <c:pt idx="21">
                  <c:v>10893.2</c:v>
                </c:pt>
                <c:pt idx="22">
                  <c:v>9527.40000000001</c:v>
                </c:pt>
                <c:pt idx="23">
                  <c:v>10461.6</c:v>
                </c:pt>
                <c:pt idx="24">
                  <c:v>10495.8</c:v>
                </c:pt>
                <c:pt idx="25">
                  <c:v>11755</c:v>
                </c:pt>
                <c:pt idx="26">
                  <c:v>13139.2</c:v>
                </c:pt>
                <c:pt idx="27">
                  <c:v>11948.4</c:v>
                </c:pt>
                <c:pt idx="28">
                  <c:v>13282.6</c:v>
                </c:pt>
                <c:pt idx="29">
                  <c:v>14291.8</c:v>
                </c:pt>
                <c:pt idx="30">
                  <c:v>15376</c:v>
                </c:pt>
                <c:pt idx="31">
                  <c:v>14560.2</c:v>
                </c:pt>
                <c:pt idx="32">
                  <c:v>12894.4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5000</c:v>
                </c:pt>
                <c:pt idx="1">
                  <c:v>5726.57288135593</c:v>
                </c:pt>
                <c:pt idx="2">
                  <c:v>5640.43389830508</c:v>
                </c:pt>
                <c:pt idx="3">
                  <c:v>6014.25254237288</c:v>
                </c:pt>
                <c:pt idx="4">
                  <c:v>6657.77457627118</c:v>
                </c:pt>
                <c:pt idx="5">
                  <c:v>7208.18220338983</c:v>
                </c:pt>
                <c:pt idx="6">
                  <c:v>7328.39915254237</c:v>
                </c:pt>
                <c:pt idx="7">
                  <c:v>8714.08220338982</c:v>
                </c:pt>
                <c:pt idx="8">
                  <c:v>8575.82457627118</c:v>
                </c:pt>
                <c:pt idx="9">
                  <c:v>8956.31694915253</c:v>
                </c:pt>
                <c:pt idx="10">
                  <c:v>8414.56355932203</c:v>
                </c:pt>
                <c:pt idx="11">
                  <c:v>9216.03050847457</c:v>
                </c:pt>
                <c:pt idx="12">
                  <c:v>9822.15847457626</c:v>
                </c:pt>
                <c:pt idx="13">
                  <c:v>9273.7313559322</c:v>
                </c:pt>
                <c:pt idx="14">
                  <c:v>9022.86779661017</c:v>
                </c:pt>
                <c:pt idx="15">
                  <c:v>9857.38559322033</c:v>
                </c:pt>
                <c:pt idx="16">
                  <c:v>10267.856779661</c:v>
                </c:pt>
                <c:pt idx="17">
                  <c:v>9598.9847457627</c:v>
                </c:pt>
                <c:pt idx="18">
                  <c:v>10129.9008474576</c:v>
                </c:pt>
                <c:pt idx="19">
                  <c:v>9960.81694915253</c:v>
                </c:pt>
                <c:pt idx="20">
                  <c:v>9663.44915254236</c:v>
                </c:pt>
                <c:pt idx="21">
                  <c:v>10093.4118644068</c:v>
                </c:pt>
                <c:pt idx="22">
                  <c:v>8400.38728813559</c:v>
                </c:pt>
                <c:pt idx="23">
                  <c:v>9239.56610169491</c:v>
                </c:pt>
                <c:pt idx="24">
                  <c:v>9407.55847457627</c:v>
                </c:pt>
                <c:pt idx="25">
                  <c:v>10873.8559322034</c:v>
                </c:pt>
                <c:pt idx="26">
                  <c:v>12346.5093220339</c:v>
                </c:pt>
                <c:pt idx="27">
                  <c:v>11544.4805084746</c:v>
                </c:pt>
                <c:pt idx="28">
                  <c:v>12750.5025423729</c:v>
                </c:pt>
                <c:pt idx="29">
                  <c:v>13845.2957627118</c:v>
                </c:pt>
                <c:pt idx="30">
                  <c:v>14792.8432203389</c:v>
                </c:pt>
                <c:pt idx="31">
                  <c:v>14185.6237288135</c:v>
                </c:pt>
                <c:pt idx="32">
                  <c:v>12894.4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32efad-23a0-4662-97ad-08cd5a7295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1025</c:v>
                </c:pt>
                <c:pt idx="1">
                  <c:v>100</c:v>
                </c:pt>
                <c:pt idx="2">
                  <c:v>825</c:v>
                </c:pt>
                <c:pt idx="3">
                  <c:v>725</c:v>
                </c:pt>
                <c:pt idx="4">
                  <c:v>1050</c:v>
                </c:pt>
                <c:pt idx="5">
                  <c:v>300</c:v>
                </c:pt>
                <c:pt idx="6">
                  <c:v>1475</c:v>
                </c:pt>
                <c:pt idx="7">
                  <c:v>-50</c:v>
                </c:pt>
                <c:pt idx="8">
                  <c:v>200</c:v>
                </c:pt>
                <c:pt idx="9">
                  <c:v>400</c:v>
                </c:pt>
                <c:pt idx="10">
                  <c:v>1450</c:v>
                </c:pt>
                <c:pt idx="11">
                  <c:v>1000</c:v>
                </c:pt>
                <c:pt idx="12">
                  <c:v>-825</c:v>
                </c:pt>
                <c:pt idx="13">
                  <c:v>-75</c:v>
                </c:pt>
                <c:pt idx="14">
                  <c:v>1025</c:v>
                </c:pt>
                <c:pt idx="15">
                  <c:v>550</c:v>
                </c:pt>
                <c:pt idx="16">
                  <c:v>0</c:v>
                </c:pt>
                <c:pt idx="17">
                  <c:v>800</c:v>
                </c:pt>
                <c:pt idx="18">
                  <c:v>175</c:v>
                </c:pt>
                <c:pt idx="19">
                  <c:v>-275</c:v>
                </c:pt>
                <c:pt idx="20">
                  <c:v>25</c:v>
                </c:pt>
                <c:pt idx="21">
                  <c:v>-1175</c:v>
                </c:pt>
                <c:pt idx="22">
                  <c:v>1125</c:v>
                </c:pt>
                <c:pt idx="23">
                  <c:v>225</c:v>
                </c:pt>
                <c:pt idx="24">
                  <c:v>1450</c:v>
                </c:pt>
                <c:pt idx="25">
                  <c:v>1575</c:v>
                </c:pt>
                <c:pt idx="26">
                  <c:v>-1000</c:v>
                </c:pt>
                <c:pt idx="27">
                  <c:v>1525</c:v>
                </c:pt>
                <c:pt idx="28">
                  <c:v>1200</c:v>
                </c:pt>
                <c:pt idx="29">
                  <c:v>1275</c:v>
                </c:pt>
                <c:pt idx="30">
                  <c:v>-625</c:v>
                </c:pt>
                <c:pt idx="31">
                  <c:v>-1475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917.372881355932</c:v>
                </c:pt>
                <c:pt idx="1">
                  <c:v>104.661016949152</c:v>
                </c:pt>
                <c:pt idx="2">
                  <c:v>564.618644067796</c:v>
                </c:pt>
                <c:pt idx="3">
                  <c:v>834.322033898306</c:v>
                </c:pt>
                <c:pt idx="4">
                  <c:v>741.207627118643</c:v>
                </c:pt>
                <c:pt idx="5">
                  <c:v>311.016949152542</c:v>
                </c:pt>
                <c:pt idx="6">
                  <c:v>1576.48305084745</c:v>
                </c:pt>
                <c:pt idx="7">
                  <c:v>52.5423728813563</c:v>
                </c:pt>
                <c:pt idx="8">
                  <c:v>571.292372881356</c:v>
                </c:pt>
                <c:pt idx="9" c:formatCode="0.00_ ">
                  <c:v>-350.953389830508</c:v>
                </c:pt>
                <c:pt idx="10">
                  <c:v>992.266949152541</c:v>
                </c:pt>
                <c:pt idx="11">
                  <c:v>796.927966101694</c:v>
                </c:pt>
                <c:pt idx="12" c:formatCode="0.00_ ">
                  <c:v>-357.627118644067</c:v>
                </c:pt>
                <c:pt idx="13">
                  <c:v>-60.0635593220342</c:v>
                </c:pt>
                <c:pt idx="14">
                  <c:v>1025.31779661016</c:v>
                </c:pt>
                <c:pt idx="15">
                  <c:v>601.271186440677</c:v>
                </c:pt>
                <c:pt idx="16" c:formatCode="0.00_ ">
                  <c:v>-478.072033898305</c:v>
                </c:pt>
                <c:pt idx="17">
                  <c:v>721.716101694915</c:v>
                </c:pt>
                <c:pt idx="18">
                  <c:v>21.7161016949149</c:v>
                </c:pt>
                <c:pt idx="19">
                  <c:v>-106.56779661017</c:v>
                </c:pt>
                <c:pt idx="20">
                  <c:v>620.762711864405</c:v>
                </c:pt>
                <c:pt idx="21" c:formatCode="0.00_ ">
                  <c:v>-1502.22457627118</c:v>
                </c:pt>
                <c:pt idx="22">
                  <c:v>1029.97881355932</c:v>
                </c:pt>
                <c:pt idx="23">
                  <c:v>358.792372881356</c:v>
                </c:pt>
                <c:pt idx="24">
                  <c:v>1657.09745762711</c:v>
                </c:pt>
                <c:pt idx="25">
                  <c:v>1663.4533898305</c:v>
                </c:pt>
                <c:pt idx="26">
                  <c:v>-611.228813559322</c:v>
                </c:pt>
                <c:pt idx="27">
                  <c:v>1396.8220338983</c:v>
                </c:pt>
                <c:pt idx="28">
                  <c:v>1285.59322033898</c:v>
                </c:pt>
                <c:pt idx="29">
                  <c:v>1138.34745762711</c:v>
                </c:pt>
                <c:pt idx="30">
                  <c:v>-416.419491525423</c:v>
                </c:pt>
                <c:pt idx="31" c:formatCode="0.00_ ">
                  <c:v>-1100.42372881355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d8beb9-b0c3-4dfd-9318-ac9433c133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885055" y="245745"/>
        <a:ext cx="5428615" cy="2961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906010" y="3394710"/>
        <a:ext cx="5414645" cy="2815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85" zoomScaleNormal="85" workbookViewId="0">
      <selection activeCell="B2" sqref="B2:B33"/>
    </sheetView>
  </sheetViews>
  <sheetFormatPr defaultColWidth="9" defaultRowHeight="13.5"/>
  <cols>
    <col min="1" max="1" width="9" style="7"/>
    <col min="2" max="2" width="13.75" style="7"/>
    <col min="3" max="3" width="9" style="7" customWidth="1"/>
    <col min="4" max="8" width="9" style="7"/>
    <col min="9" max="13" width="9" style="7" customWidth="1"/>
    <col min="14" max="16384" width="9" style="7"/>
  </cols>
  <sheetData>
    <row r="1" ht="14.25" spans="1:22">
      <c r="A1" s="33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6" t="s">
        <v>21</v>
      </c>
    </row>
    <row r="2" spans="1:22">
      <c r="A2" s="12" t="s">
        <v>22</v>
      </c>
      <c r="B2" s="30">
        <v>1025</v>
      </c>
      <c r="C2" s="37">
        <v>1</v>
      </c>
      <c r="D2" s="37">
        <v>0</v>
      </c>
      <c r="E2" s="37">
        <v>1</v>
      </c>
      <c r="F2" s="37">
        <v>1</v>
      </c>
      <c r="G2" s="37">
        <v>1</v>
      </c>
      <c r="H2" s="37">
        <v>1</v>
      </c>
      <c r="I2" s="37">
        <v>1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1</v>
      </c>
      <c r="Q2" s="37">
        <v>0</v>
      </c>
      <c r="R2" s="37">
        <v>1</v>
      </c>
      <c r="S2" s="37">
        <v>0</v>
      </c>
      <c r="T2" s="37">
        <v>1</v>
      </c>
      <c r="U2" s="37">
        <v>1</v>
      </c>
      <c r="V2" s="38">
        <v>16401</v>
      </c>
    </row>
    <row r="3" spans="1:22">
      <c r="A3" s="14" t="s">
        <v>23</v>
      </c>
      <c r="B3" s="6">
        <v>100</v>
      </c>
      <c r="C3" s="39">
        <v>0</v>
      </c>
      <c r="D3" s="39">
        <v>1</v>
      </c>
      <c r="E3" s="39">
        <v>1</v>
      </c>
      <c r="F3" s="39">
        <v>1</v>
      </c>
      <c r="G3" s="39">
        <v>0</v>
      </c>
      <c r="H3" s="39">
        <v>0</v>
      </c>
      <c r="I3" s="39">
        <v>0</v>
      </c>
      <c r="J3" s="39">
        <v>0</v>
      </c>
      <c r="K3" s="39">
        <v>1</v>
      </c>
      <c r="L3" s="39">
        <v>0</v>
      </c>
      <c r="M3" s="39">
        <v>1</v>
      </c>
      <c r="N3" s="39">
        <v>1</v>
      </c>
      <c r="O3" s="39">
        <v>0</v>
      </c>
      <c r="P3" s="39">
        <v>0</v>
      </c>
      <c r="Q3" s="39">
        <v>1</v>
      </c>
      <c r="R3" s="39">
        <v>1</v>
      </c>
      <c r="S3" s="39">
        <v>0</v>
      </c>
      <c r="T3" s="39">
        <v>0</v>
      </c>
      <c r="U3" s="39">
        <v>0</v>
      </c>
      <c r="V3" s="40">
        <v>12401</v>
      </c>
    </row>
    <row r="4" spans="1:22">
      <c r="A4" s="14" t="s">
        <v>24</v>
      </c>
      <c r="B4" s="6">
        <v>825</v>
      </c>
      <c r="C4" s="39">
        <v>1</v>
      </c>
      <c r="D4" s="39">
        <v>1</v>
      </c>
      <c r="E4" s="39">
        <v>0</v>
      </c>
      <c r="F4" s="39">
        <v>1</v>
      </c>
      <c r="G4" s="39">
        <v>1</v>
      </c>
      <c r="H4" s="39">
        <v>1</v>
      </c>
      <c r="I4" s="39">
        <v>1</v>
      </c>
      <c r="J4" s="39">
        <v>0</v>
      </c>
      <c r="K4" s="39">
        <v>1</v>
      </c>
      <c r="L4" s="39">
        <v>0</v>
      </c>
      <c r="M4" s="39">
        <v>1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1</v>
      </c>
      <c r="U4" s="39">
        <v>0</v>
      </c>
      <c r="V4" s="40">
        <v>15401</v>
      </c>
    </row>
    <row r="5" spans="1:22">
      <c r="A5" s="14" t="s">
        <v>25</v>
      </c>
      <c r="B5" s="6">
        <v>725</v>
      </c>
      <c r="C5" s="39">
        <v>1</v>
      </c>
      <c r="D5" s="39">
        <v>0</v>
      </c>
      <c r="E5" s="39">
        <v>0</v>
      </c>
      <c r="F5" s="39">
        <v>1</v>
      </c>
      <c r="G5" s="39">
        <v>0</v>
      </c>
      <c r="H5" s="39">
        <v>0</v>
      </c>
      <c r="I5" s="39">
        <v>1</v>
      </c>
      <c r="J5" s="39">
        <v>0</v>
      </c>
      <c r="K5" s="39">
        <v>1</v>
      </c>
      <c r="L5" s="39">
        <v>0</v>
      </c>
      <c r="M5" s="39">
        <v>1</v>
      </c>
      <c r="N5" s="39">
        <v>0</v>
      </c>
      <c r="O5" s="39">
        <v>1</v>
      </c>
      <c r="P5" s="39">
        <v>1</v>
      </c>
      <c r="Q5" s="39">
        <v>1</v>
      </c>
      <c r="R5" s="39">
        <v>1</v>
      </c>
      <c r="S5" s="39">
        <v>0</v>
      </c>
      <c r="T5" s="39">
        <v>0</v>
      </c>
      <c r="U5" s="39">
        <v>0</v>
      </c>
      <c r="V5" s="40">
        <v>9401</v>
      </c>
    </row>
    <row r="6" spans="1:22">
      <c r="A6" s="14" t="s">
        <v>26</v>
      </c>
      <c r="B6" s="6">
        <v>1050</v>
      </c>
      <c r="C6" s="39">
        <v>1</v>
      </c>
      <c r="D6" s="39">
        <v>1</v>
      </c>
      <c r="E6" s="39">
        <v>1</v>
      </c>
      <c r="F6" s="39">
        <v>0</v>
      </c>
      <c r="G6" s="39">
        <v>0</v>
      </c>
      <c r="H6" s="39">
        <v>0</v>
      </c>
      <c r="I6" s="39">
        <v>1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1</v>
      </c>
      <c r="P6" s="39">
        <v>1</v>
      </c>
      <c r="Q6" s="39">
        <v>0</v>
      </c>
      <c r="R6" s="39">
        <v>1</v>
      </c>
      <c r="S6" s="39">
        <v>0</v>
      </c>
      <c r="T6" s="39">
        <v>0</v>
      </c>
      <c r="U6" s="39">
        <v>1</v>
      </c>
      <c r="V6" s="40">
        <v>11401</v>
      </c>
    </row>
    <row r="7" spans="1:22">
      <c r="A7" s="14" t="s">
        <v>27</v>
      </c>
      <c r="B7" s="6">
        <v>300</v>
      </c>
      <c r="C7" s="39">
        <v>1</v>
      </c>
      <c r="D7" s="39">
        <v>0</v>
      </c>
      <c r="E7" s="39">
        <v>0</v>
      </c>
      <c r="F7" s="39">
        <v>0</v>
      </c>
      <c r="G7" s="39">
        <v>0</v>
      </c>
      <c r="H7" s="39">
        <v>1</v>
      </c>
      <c r="I7" s="39">
        <v>1</v>
      </c>
      <c r="J7" s="39">
        <v>0</v>
      </c>
      <c r="K7" s="39">
        <v>0</v>
      </c>
      <c r="L7" s="39">
        <v>0</v>
      </c>
      <c r="M7" s="39">
        <v>0</v>
      </c>
      <c r="N7" s="39">
        <v>1</v>
      </c>
      <c r="O7" s="39">
        <v>1</v>
      </c>
      <c r="P7" s="39">
        <v>1</v>
      </c>
      <c r="Q7" s="39">
        <v>1</v>
      </c>
      <c r="R7" s="39">
        <v>0</v>
      </c>
      <c r="S7" s="39">
        <v>0</v>
      </c>
      <c r="T7" s="39">
        <v>1</v>
      </c>
      <c r="U7" s="39">
        <v>0</v>
      </c>
      <c r="V7" s="40">
        <v>9901</v>
      </c>
    </row>
    <row r="8" spans="1:22">
      <c r="A8" s="14" t="s">
        <v>28</v>
      </c>
      <c r="B8" s="6">
        <v>1475</v>
      </c>
      <c r="C8" s="39">
        <v>1</v>
      </c>
      <c r="D8" s="39">
        <v>1</v>
      </c>
      <c r="E8" s="39">
        <v>1</v>
      </c>
      <c r="F8" s="39">
        <v>1</v>
      </c>
      <c r="G8" s="39">
        <v>1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1</v>
      </c>
      <c r="N8" s="39">
        <v>0</v>
      </c>
      <c r="O8" s="39">
        <v>0</v>
      </c>
      <c r="P8" s="39">
        <v>0</v>
      </c>
      <c r="Q8" s="39">
        <v>1</v>
      </c>
      <c r="R8" s="39">
        <v>0</v>
      </c>
      <c r="S8" s="39">
        <v>0</v>
      </c>
      <c r="T8" s="39">
        <v>1</v>
      </c>
      <c r="U8" s="39">
        <v>1</v>
      </c>
      <c r="V8" s="40">
        <v>14401</v>
      </c>
    </row>
    <row r="9" spans="1:22">
      <c r="A9" s="14" t="s">
        <v>29</v>
      </c>
      <c r="B9" s="6">
        <v>-50</v>
      </c>
      <c r="C9" s="39">
        <v>1</v>
      </c>
      <c r="D9" s="39">
        <v>1</v>
      </c>
      <c r="E9" s="39">
        <v>1</v>
      </c>
      <c r="F9" s="39">
        <v>0</v>
      </c>
      <c r="G9" s="39">
        <v>1</v>
      </c>
      <c r="H9" s="39">
        <v>0</v>
      </c>
      <c r="I9" s="39">
        <v>1</v>
      </c>
      <c r="J9" s="39">
        <v>0</v>
      </c>
      <c r="K9" s="39">
        <v>0</v>
      </c>
      <c r="L9" s="39">
        <v>0</v>
      </c>
      <c r="M9" s="39">
        <v>0</v>
      </c>
      <c r="N9" s="39">
        <v>1</v>
      </c>
      <c r="O9" s="39">
        <v>1</v>
      </c>
      <c r="P9" s="39">
        <v>1</v>
      </c>
      <c r="Q9" s="39">
        <v>1</v>
      </c>
      <c r="R9" s="39">
        <v>0</v>
      </c>
      <c r="S9" s="39">
        <v>1</v>
      </c>
      <c r="T9" s="39">
        <v>0</v>
      </c>
      <c r="U9" s="39">
        <v>0</v>
      </c>
      <c r="V9" s="40">
        <v>16401</v>
      </c>
    </row>
    <row r="10" ht="14.25" spans="1:22">
      <c r="A10" s="15" t="s">
        <v>30</v>
      </c>
      <c r="B10" s="31">
        <v>200</v>
      </c>
      <c r="C10" s="41">
        <v>1</v>
      </c>
      <c r="D10" s="41">
        <v>1</v>
      </c>
      <c r="E10" s="41">
        <v>0</v>
      </c>
      <c r="F10" s="41">
        <v>1</v>
      </c>
      <c r="G10" s="41">
        <v>0</v>
      </c>
      <c r="H10" s="41">
        <v>0</v>
      </c>
      <c r="I10" s="41">
        <v>1</v>
      </c>
      <c r="J10" s="41">
        <v>0</v>
      </c>
      <c r="K10" s="41">
        <v>1</v>
      </c>
      <c r="L10" s="41">
        <v>0</v>
      </c>
      <c r="M10" s="41">
        <v>0</v>
      </c>
      <c r="N10" s="41">
        <v>1</v>
      </c>
      <c r="O10" s="41">
        <v>1</v>
      </c>
      <c r="P10" s="41">
        <v>1</v>
      </c>
      <c r="Q10" s="41">
        <v>0</v>
      </c>
      <c r="R10" s="41">
        <v>0</v>
      </c>
      <c r="S10" s="41">
        <v>1</v>
      </c>
      <c r="T10" s="41">
        <v>1</v>
      </c>
      <c r="U10" s="41">
        <v>0</v>
      </c>
      <c r="V10" s="42">
        <v>14401</v>
      </c>
    </row>
    <row r="11" spans="1:22">
      <c r="A11" s="12" t="s">
        <v>22</v>
      </c>
      <c r="B11" s="30">
        <v>400</v>
      </c>
      <c r="C11" s="37">
        <v>1</v>
      </c>
      <c r="D11" s="37">
        <v>0</v>
      </c>
      <c r="E11" s="37">
        <v>1</v>
      </c>
      <c r="F11" s="37">
        <v>0</v>
      </c>
      <c r="G11" s="37">
        <v>0</v>
      </c>
      <c r="H11" s="37">
        <v>0</v>
      </c>
      <c r="I11" s="37">
        <v>1</v>
      </c>
      <c r="J11" s="37">
        <v>0</v>
      </c>
      <c r="K11" s="37">
        <v>1</v>
      </c>
      <c r="L11" s="37">
        <v>0</v>
      </c>
      <c r="M11" s="37">
        <v>1</v>
      </c>
      <c r="N11" s="37">
        <v>1</v>
      </c>
      <c r="O11" s="37">
        <v>1</v>
      </c>
      <c r="P11" s="37">
        <v>0</v>
      </c>
      <c r="Q11" s="37">
        <v>1</v>
      </c>
      <c r="R11" s="37">
        <v>0</v>
      </c>
      <c r="S11" s="37">
        <v>1</v>
      </c>
      <c r="T11" s="37">
        <v>0</v>
      </c>
      <c r="U11" s="37">
        <v>1</v>
      </c>
      <c r="V11" s="38">
        <v>13901</v>
      </c>
    </row>
    <row r="12" spans="1:22">
      <c r="A12" s="14" t="s">
        <v>23</v>
      </c>
      <c r="B12" s="6">
        <v>1450</v>
      </c>
      <c r="C12" s="39">
        <v>1</v>
      </c>
      <c r="D12" s="39">
        <v>1</v>
      </c>
      <c r="E12" s="39">
        <v>0</v>
      </c>
      <c r="F12" s="39">
        <v>1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1</v>
      </c>
      <c r="O12" s="39">
        <v>1</v>
      </c>
      <c r="P12" s="39">
        <v>0</v>
      </c>
      <c r="Q12" s="39">
        <v>1</v>
      </c>
      <c r="R12" s="39">
        <v>1</v>
      </c>
      <c r="S12" s="39">
        <v>0</v>
      </c>
      <c r="T12" s="39">
        <v>1</v>
      </c>
      <c r="U12" s="39">
        <v>0</v>
      </c>
      <c r="V12" s="40">
        <v>9901</v>
      </c>
    </row>
    <row r="13" spans="1:22">
      <c r="A13" s="14" t="s">
        <v>24</v>
      </c>
      <c r="B13" s="6">
        <v>1000</v>
      </c>
      <c r="C13" s="39">
        <v>1</v>
      </c>
      <c r="D13" s="39">
        <v>1</v>
      </c>
      <c r="E13" s="39">
        <v>1</v>
      </c>
      <c r="F13" s="39">
        <v>0</v>
      </c>
      <c r="G13" s="39">
        <v>0</v>
      </c>
      <c r="H13" s="39">
        <v>1</v>
      </c>
      <c r="I13" s="39">
        <v>0</v>
      </c>
      <c r="J13" s="39">
        <v>0</v>
      </c>
      <c r="K13" s="39">
        <v>0</v>
      </c>
      <c r="L13" s="39">
        <v>0</v>
      </c>
      <c r="M13" s="39">
        <v>1</v>
      </c>
      <c r="N13" s="39">
        <v>1</v>
      </c>
      <c r="O13" s="39">
        <v>0</v>
      </c>
      <c r="P13" s="39">
        <v>0</v>
      </c>
      <c r="Q13" s="39">
        <v>0</v>
      </c>
      <c r="R13" s="39">
        <v>1</v>
      </c>
      <c r="S13" s="39">
        <v>1</v>
      </c>
      <c r="T13" s="39">
        <v>1</v>
      </c>
      <c r="U13" s="39">
        <v>1</v>
      </c>
      <c r="V13" s="40">
        <v>16401</v>
      </c>
    </row>
    <row r="14" spans="1:22">
      <c r="A14" s="14" t="s">
        <v>25</v>
      </c>
      <c r="B14" s="6">
        <v>-825</v>
      </c>
      <c r="C14" s="39">
        <v>1</v>
      </c>
      <c r="D14" s="39">
        <v>0</v>
      </c>
      <c r="E14" s="39">
        <v>0</v>
      </c>
      <c r="F14" s="39">
        <v>1</v>
      </c>
      <c r="G14" s="39">
        <v>1</v>
      </c>
      <c r="H14" s="39">
        <v>1</v>
      </c>
      <c r="I14" s="39">
        <v>1</v>
      </c>
      <c r="J14" s="39">
        <v>0</v>
      </c>
      <c r="K14" s="39">
        <v>1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1</v>
      </c>
      <c r="R14" s="39">
        <v>1</v>
      </c>
      <c r="S14" s="39">
        <v>1</v>
      </c>
      <c r="T14" s="39">
        <v>0</v>
      </c>
      <c r="U14" s="39">
        <v>1</v>
      </c>
      <c r="V14" s="40">
        <v>14401</v>
      </c>
    </row>
    <row r="15" spans="1:22">
      <c r="A15" s="14" t="s">
        <v>26</v>
      </c>
      <c r="B15" s="6">
        <v>-75</v>
      </c>
      <c r="C15" s="39">
        <v>1</v>
      </c>
      <c r="D15" s="39">
        <v>0</v>
      </c>
      <c r="E15" s="39">
        <v>1</v>
      </c>
      <c r="F15" s="39">
        <v>1</v>
      </c>
      <c r="G15" s="39">
        <v>1</v>
      </c>
      <c r="H15" s="39">
        <v>0</v>
      </c>
      <c r="I15" s="39">
        <v>1</v>
      </c>
      <c r="J15" s="39">
        <v>0</v>
      </c>
      <c r="K15" s="39">
        <v>0</v>
      </c>
      <c r="L15" s="39">
        <v>0</v>
      </c>
      <c r="M15" s="39">
        <v>0</v>
      </c>
      <c r="N15" s="39">
        <v>1</v>
      </c>
      <c r="O15" s="39">
        <v>1</v>
      </c>
      <c r="P15" s="39">
        <v>0</v>
      </c>
      <c r="Q15" s="39">
        <v>0</v>
      </c>
      <c r="R15" s="39">
        <v>0</v>
      </c>
      <c r="S15" s="39">
        <v>1</v>
      </c>
      <c r="T15" s="39">
        <v>1</v>
      </c>
      <c r="U15" s="39">
        <v>1</v>
      </c>
      <c r="V15" s="40">
        <v>16901</v>
      </c>
    </row>
    <row r="16" spans="1:22">
      <c r="A16" s="14" t="s">
        <v>27</v>
      </c>
      <c r="B16" s="6">
        <v>1025</v>
      </c>
      <c r="C16" s="39">
        <v>0</v>
      </c>
      <c r="D16" s="39">
        <v>0</v>
      </c>
      <c r="E16" s="39">
        <v>1</v>
      </c>
      <c r="F16" s="39">
        <v>1</v>
      </c>
      <c r="G16" s="39">
        <v>0</v>
      </c>
      <c r="H16" s="39">
        <v>1</v>
      </c>
      <c r="I16" s="39">
        <v>0</v>
      </c>
      <c r="J16" s="39">
        <v>0</v>
      </c>
      <c r="K16" s="39">
        <v>0</v>
      </c>
      <c r="L16" s="39">
        <v>0</v>
      </c>
      <c r="M16" s="39">
        <v>1</v>
      </c>
      <c r="N16" s="39">
        <v>0</v>
      </c>
      <c r="O16" s="39">
        <v>0</v>
      </c>
      <c r="P16" s="39">
        <v>1</v>
      </c>
      <c r="Q16" s="39">
        <v>0</v>
      </c>
      <c r="R16" s="39">
        <v>1</v>
      </c>
      <c r="S16" s="39">
        <v>1</v>
      </c>
      <c r="T16" s="39">
        <v>0</v>
      </c>
      <c r="U16" s="39">
        <v>1</v>
      </c>
      <c r="V16" s="40">
        <v>11901</v>
      </c>
    </row>
    <row r="17" spans="1:22">
      <c r="A17" s="14" t="s">
        <v>28</v>
      </c>
      <c r="B17" s="6">
        <v>550</v>
      </c>
      <c r="C17" s="39">
        <v>1</v>
      </c>
      <c r="D17" s="39">
        <v>0</v>
      </c>
      <c r="E17" s="39">
        <v>0</v>
      </c>
      <c r="F17" s="39">
        <v>1</v>
      </c>
      <c r="G17" s="39">
        <v>0</v>
      </c>
      <c r="H17" s="39">
        <v>0</v>
      </c>
      <c r="I17" s="39">
        <v>0</v>
      </c>
      <c r="J17" s="39">
        <v>0</v>
      </c>
      <c r="K17" s="39">
        <v>1</v>
      </c>
      <c r="L17" s="39">
        <v>0</v>
      </c>
      <c r="M17" s="39">
        <v>0</v>
      </c>
      <c r="N17" s="39">
        <v>1</v>
      </c>
      <c r="O17" s="39">
        <v>1</v>
      </c>
      <c r="P17" s="39">
        <v>0</v>
      </c>
      <c r="Q17" s="39">
        <v>0</v>
      </c>
      <c r="R17" s="39">
        <v>0</v>
      </c>
      <c r="S17" s="39">
        <v>1</v>
      </c>
      <c r="T17" s="39">
        <v>1</v>
      </c>
      <c r="U17" s="39">
        <v>1</v>
      </c>
      <c r="V17" s="40">
        <v>11401</v>
      </c>
    </row>
    <row r="18" ht="14.25" spans="1:22">
      <c r="A18" s="15" t="s">
        <v>29</v>
      </c>
      <c r="B18" s="31">
        <v>0</v>
      </c>
      <c r="C18" s="41">
        <v>1</v>
      </c>
      <c r="D18" s="41">
        <v>1</v>
      </c>
      <c r="E18" s="41">
        <v>1</v>
      </c>
      <c r="F18" s="41">
        <v>1</v>
      </c>
      <c r="G18" s="41">
        <v>0</v>
      </c>
      <c r="H18" s="41">
        <v>1</v>
      </c>
      <c r="I18" s="41">
        <v>0</v>
      </c>
      <c r="J18" s="41">
        <v>0</v>
      </c>
      <c r="K18" s="41">
        <v>1</v>
      </c>
      <c r="L18" s="41">
        <v>0</v>
      </c>
      <c r="M18" s="41">
        <v>0</v>
      </c>
      <c r="N18" s="41">
        <v>1</v>
      </c>
      <c r="O18" s="41">
        <v>0</v>
      </c>
      <c r="P18" s="41">
        <v>0</v>
      </c>
      <c r="Q18" s="41">
        <v>1</v>
      </c>
      <c r="R18" s="41">
        <v>0</v>
      </c>
      <c r="S18" s="41">
        <v>0</v>
      </c>
      <c r="T18" s="41">
        <v>0</v>
      </c>
      <c r="U18" s="41">
        <v>1</v>
      </c>
      <c r="V18" s="42">
        <v>14401</v>
      </c>
    </row>
    <row r="19" spans="1:22">
      <c r="A19" s="12" t="s">
        <v>22</v>
      </c>
      <c r="B19" s="30">
        <v>800</v>
      </c>
      <c r="C19" s="37">
        <v>1</v>
      </c>
      <c r="D19" s="37">
        <v>1</v>
      </c>
      <c r="E19" s="37">
        <v>0</v>
      </c>
      <c r="F19" s="37">
        <v>1</v>
      </c>
      <c r="G19" s="37">
        <v>0</v>
      </c>
      <c r="H19" s="37">
        <v>0</v>
      </c>
      <c r="I19" s="37">
        <v>1</v>
      </c>
      <c r="J19" s="37">
        <v>0</v>
      </c>
      <c r="K19" s="37">
        <v>1</v>
      </c>
      <c r="L19" s="37">
        <v>0</v>
      </c>
      <c r="M19" s="37">
        <v>1</v>
      </c>
      <c r="N19" s="37">
        <v>0</v>
      </c>
      <c r="O19" s="37">
        <v>1</v>
      </c>
      <c r="P19" s="37">
        <v>0</v>
      </c>
      <c r="Q19" s="37">
        <v>0</v>
      </c>
      <c r="R19" s="37">
        <v>0</v>
      </c>
      <c r="S19" s="37">
        <v>0</v>
      </c>
      <c r="T19" s="37">
        <v>1</v>
      </c>
      <c r="U19" s="37">
        <v>1</v>
      </c>
      <c r="V19" s="38">
        <v>11901</v>
      </c>
    </row>
    <row r="20" spans="1:22">
      <c r="A20" s="14" t="s">
        <v>23</v>
      </c>
      <c r="B20" s="6">
        <v>175</v>
      </c>
      <c r="C20" s="39">
        <v>1</v>
      </c>
      <c r="D20" s="39">
        <v>0</v>
      </c>
      <c r="E20" s="39">
        <v>0</v>
      </c>
      <c r="F20" s="39">
        <v>1</v>
      </c>
      <c r="G20" s="39">
        <v>0</v>
      </c>
      <c r="H20" s="39">
        <v>1</v>
      </c>
      <c r="I20" s="39">
        <v>0</v>
      </c>
      <c r="J20" s="39">
        <v>0</v>
      </c>
      <c r="K20" s="39">
        <v>1</v>
      </c>
      <c r="L20" s="39">
        <v>0</v>
      </c>
      <c r="M20" s="39">
        <v>0</v>
      </c>
      <c r="N20" s="39">
        <v>0</v>
      </c>
      <c r="O20" s="39">
        <v>1</v>
      </c>
      <c r="P20" s="39">
        <v>1</v>
      </c>
      <c r="Q20" s="39">
        <v>0</v>
      </c>
      <c r="R20" s="39">
        <v>1</v>
      </c>
      <c r="S20" s="39">
        <v>0</v>
      </c>
      <c r="T20" s="39">
        <v>1</v>
      </c>
      <c r="U20" s="39">
        <v>1</v>
      </c>
      <c r="V20" s="40">
        <v>11901</v>
      </c>
    </row>
    <row r="21" spans="1:22">
      <c r="A21" s="14" t="s">
        <v>24</v>
      </c>
      <c r="B21" s="6">
        <v>-275</v>
      </c>
      <c r="C21" s="39">
        <v>1</v>
      </c>
      <c r="D21" s="39">
        <v>0</v>
      </c>
      <c r="E21" s="39">
        <v>1</v>
      </c>
      <c r="F21" s="39">
        <v>1</v>
      </c>
      <c r="G21" s="39">
        <v>0</v>
      </c>
      <c r="H21" s="39">
        <v>1</v>
      </c>
      <c r="I21" s="39">
        <v>0</v>
      </c>
      <c r="J21" s="39">
        <v>0</v>
      </c>
      <c r="K21" s="39">
        <v>1</v>
      </c>
      <c r="L21" s="39">
        <v>0</v>
      </c>
      <c r="M21" s="39">
        <v>1</v>
      </c>
      <c r="N21" s="39">
        <v>1</v>
      </c>
      <c r="O21" s="39">
        <v>0</v>
      </c>
      <c r="P21" s="39">
        <v>1</v>
      </c>
      <c r="Q21" s="39">
        <v>0</v>
      </c>
      <c r="R21" s="39">
        <v>0</v>
      </c>
      <c r="S21" s="39">
        <v>0</v>
      </c>
      <c r="T21" s="39">
        <v>1</v>
      </c>
      <c r="U21" s="39">
        <v>0</v>
      </c>
      <c r="V21" s="40">
        <v>14901</v>
      </c>
    </row>
    <row r="22" spans="1:22">
      <c r="A22" s="14" t="s">
        <v>25</v>
      </c>
      <c r="B22" s="6">
        <v>25</v>
      </c>
      <c r="C22" s="39">
        <v>0</v>
      </c>
      <c r="D22" s="39">
        <v>0</v>
      </c>
      <c r="E22" s="39">
        <v>0</v>
      </c>
      <c r="F22" s="39">
        <v>1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1</v>
      </c>
      <c r="N22" s="39">
        <v>1</v>
      </c>
      <c r="O22" s="39">
        <v>1</v>
      </c>
      <c r="P22" s="39">
        <v>0</v>
      </c>
      <c r="Q22" s="39">
        <v>1</v>
      </c>
      <c r="R22" s="39">
        <v>1</v>
      </c>
      <c r="S22" s="39">
        <v>1</v>
      </c>
      <c r="T22" s="39">
        <v>0</v>
      </c>
      <c r="U22" s="39">
        <v>1</v>
      </c>
      <c r="V22" s="40">
        <v>8901</v>
      </c>
    </row>
    <row r="23" spans="1:22">
      <c r="A23" s="14" t="s">
        <v>26</v>
      </c>
      <c r="B23" s="6">
        <v>-1175</v>
      </c>
      <c r="C23" s="39">
        <v>1</v>
      </c>
      <c r="D23" s="39">
        <v>0</v>
      </c>
      <c r="E23" s="39">
        <v>0</v>
      </c>
      <c r="F23" s="39">
        <v>1</v>
      </c>
      <c r="G23" s="39">
        <v>0</v>
      </c>
      <c r="H23" s="39">
        <v>1</v>
      </c>
      <c r="I23" s="39">
        <v>1</v>
      </c>
      <c r="J23" s="39">
        <v>0</v>
      </c>
      <c r="K23" s="39">
        <v>1</v>
      </c>
      <c r="L23" s="39">
        <v>0</v>
      </c>
      <c r="M23" s="39">
        <v>1</v>
      </c>
      <c r="N23" s="39">
        <v>1</v>
      </c>
      <c r="O23" s="39">
        <v>0</v>
      </c>
      <c r="P23" s="39">
        <v>1</v>
      </c>
      <c r="Q23" s="39">
        <v>1</v>
      </c>
      <c r="R23" s="39">
        <v>0</v>
      </c>
      <c r="S23" s="39">
        <v>0</v>
      </c>
      <c r="T23" s="39">
        <v>0</v>
      </c>
      <c r="U23" s="39">
        <v>0</v>
      </c>
      <c r="V23" s="40">
        <v>11401</v>
      </c>
    </row>
    <row r="24" ht="14.25" spans="1:22">
      <c r="A24" s="15" t="s">
        <v>27</v>
      </c>
      <c r="B24" s="31">
        <v>1125</v>
      </c>
      <c r="C24" s="41">
        <v>1</v>
      </c>
      <c r="D24" s="41">
        <v>1</v>
      </c>
      <c r="E24" s="41">
        <v>1</v>
      </c>
      <c r="F24" s="41">
        <v>0</v>
      </c>
      <c r="G24" s="41">
        <v>1</v>
      </c>
      <c r="H24" s="41">
        <v>1</v>
      </c>
      <c r="I24" s="41">
        <v>1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1</v>
      </c>
      <c r="P24" s="41">
        <v>1</v>
      </c>
      <c r="Q24" s="41">
        <v>1</v>
      </c>
      <c r="R24" s="41">
        <v>0</v>
      </c>
      <c r="S24" s="41">
        <v>0</v>
      </c>
      <c r="T24" s="41">
        <v>0</v>
      </c>
      <c r="U24" s="41">
        <v>0</v>
      </c>
      <c r="V24" s="42">
        <v>14901</v>
      </c>
    </row>
    <row r="25" spans="1:22">
      <c r="A25" s="12" t="s">
        <v>22</v>
      </c>
      <c r="B25" s="30">
        <v>225</v>
      </c>
      <c r="C25" s="37">
        <v>1</v>
      </c>
      <c r="D25" s="37">
        <v>0</v>
      </c>
      <c r="E25" s="37">
        <v>1</v>
      </c>
      <c r="F25" s="37">
        <v>1</v>
      </c>
      <c r="G25" s="37">
        <v>1</v>
      </c>
      <c r="H25" s="37">
        <v>1</v>
      </c>
      <c r="I25" s="37">
        <v>0</v>
      </c>
      <c r="J25" s="37">
        <v>0</v>
      </c>
      <c r="K25" s="37">
        <v>0</v>
      </c>
      <c r="L25" s="37">
        <v>0</v>
      </c>
      <c r="M25" s="37">
        <v>1</v>
      </c>
      <c r="N25" s="37">
        <v>1</v>
      </c>
      <c r="O25" s="37">
        <v>1</v>
      </c>
      <c r="P25" s="37">
        <v>0</v>
      </c>
      <c r="Q25" s="37">
        <v>0</v>
      </c>
      <c r="R25" s="37">
        <v>1</v>
      </c>
      <c r="S25" s="37">
        <v>0</v>
      </c>
      <c r="T25" s="37">
        <v>0</v>
      </c>
      <c r="U25" s="37">
        <v>0</v>
      </c>
      <c r="V25" s="38">
        <v>15901</v>
      </c>
    </row>
    <row r="26" spans="1:22">
      <c r="A26" s="14" t="s">
        <v>23</v>
      </c>
      <c r="B26" s="6">
        <v>1450</v>
      </c>
      <c r="C26" s="39">
        <v>1</v>
      </c>
      <c r="D26" s="39">
        <v>0</v>
      </c>
      <c r="E26" s="39">
        <v>1</v>
      </c>
      <c r="F26" s="39">
        <v>1</v>
      </c>
      <c r="G26" s="39">
        <v>1</v>
      </c>
      <c r="H26" s="39">
        <v>0</v>
      </c>
      <c r="I26" s="39">
        <v>0</v>
      </c>
      <c r="J26" s="39">
        <v>0</v>
      </c>
      <c r="K26" s="39">
        <v>1</v>
      </c>
      <c r="L26" s="39">
        <v>0</v>
      </c>
      <c r="M26" s="39">
        <v>1</v>
      </c>
      <c r="N26" s="39">
        <v>0</v>
      </c>
      <c r="O26" s="39">
        <v>0</v>
      </c>
      <c r="P26" s="39">
        <v>1</v>
      </c>
      <c r="Q26" s="39">
        <v>0</v>
      </c>
      <c r="R26" s="39">
        <v>1</v>
      </c>
      <c r="S26" s="39">
        <v>1</v>
      </c>
      <c r="T26" s="39">
        <v>1</v>
      </c>
      <c r="U26" s="39">
        <v>0</v>
      </c>
      <c r="V26" s="40">
        <v>16901</v>
      </c>
    </row>
    <row r="27" spans="1:22">
      <c r="A27" s="14" t="s">
        <v>24</v>
      </c>
      <c r="B27" s="6">
        <v>1575</v>
      </c>
      <c r="C27" s="39">
        <v>1</v>
      </c>
      <c r="D27" s="39">
        <v>0</v>
      </c>
      <c r="E27" s="39">
        <v>0</v>
      </c>
      <c r="F27" s="39">
        <v>1</v>
      </c>
      <c r="G27" s="39">
        <v>0</v>
      </c>
      <c r="H27" s="39">
        <v>0</v>
      </c>
      <c r="I27" s="39">
        <v>1</v>
      </c>
      <c r="J27" s="39">
        <v>0</v>
      </c>
      <c r="K27" s="39">
        <v>0</v>
      </c>
      <c r="L27" s="39">
        <v>0</v>
      </c>
      <c r="M27" s="39">
        <v>1</v>
      </c>
      <c r="N27" s="39">
        <v>0</v>
      </c>
      <c r="O27" s="39">
        <v>1</v>
      </c>
      <c r="P27" s="39">
        <v>0</v>
      </c>
      <c r="Q27" s="39">
        <v>1</v>
      </c>
      <c r="R27" s="39">
        <v>1</v>
      </c>
      <c r="S27" s="39">
        <v>1</v>
      </c>
      <c r="T27" s="39">
        <v>1</v>
      </c>
      <c r="U27" s="39">
        <v>0</v>
      </c>
      <c r="V27" s="40">
        <v>9401</v>
      </c>
    </row>
    <row r="28" spans="1:22">
      <c r="A28" s="14" t="s">
        <v>25</v>
      </c>
      <c r="B28" s="6">
        <v>-1000</v>
      </c>
      <c r="C28" s="39">
        <v>1</v>
      </c>
      <c r="D28" s="39">
        <v>1</v>
      </c>
      <c r="E28" s="39">
        <v>0</v>
      </c>
      <c r="F28" s="39">
        <v>0</v>
      </c>
      <c r="G28" s="39">
        <v>0</v>
      </c>
      <c r="H28" s="39">
        <v>1</v>
      </c>
      <c r="I28" s="39">
        <v>1</v>
      </c>
      <c r="J28" s="39">
        <v>0</v>
      </c>
      <c r="K28" s="39">
        <v>0</v>
      </c>
      <c r="L28" s="39">
        <v>0</v>
      </c>
      <c r="M28" s="39">
        <v>1</v>
      </c>
      <c r="N28" s="39">
        <v>1</v>
      </c>
      <c r="O28" s="39">
        <v>0</v>
      </c>
      <c r="P28" s="39">
        <v>0</v>
      </c>
      <c r="Q28" s="39">
        <v>1</v>
      </c>
      <c r="R28" s="39">
        <v>1</v>
      </c>
      <c r="S28" s="39">
        <v>0</v>
      </c>
      <c r="T28" s="39">
        <v>0</v>
      </c>
      <c r="U28" s="39">
        <v>1</v>
      </c>
      <c r="V28" s="40">
        <v>11401</v>
      </c>
    </row>
    <row r="29" ht="14.25" spans="1:22">
      <c r="A29" s="15" t="s">
        <v>26</v>
      </c>
      <c r="B29" s="31">
        <v>1525</v>
      </c>
      <c r="C29" s="41">
        <v>0</v>
      </c>
      <c r="D29" s="41">
        <v>1</v>
      </c>
      <c r="E29" s="41">
        <v>1</v>
      </c>
      <c r="F29" s="41">
        <v>1</v>
      </c>
      <c r="G29" s="41">
        <v>0</v>
      </c>
      <c r="H29" s="41">
        <v>1</v>
      </c>
      <c r="I29" s="41">
        <v>0</v>
      </c>
      <c r="J29" s="41">
        <v>0</v>
      </c>
      <c r="K29" s="41">
        <v>0</v>
      </c>
      <c r="L29" s="41">
        <v>0</v>
      </c>
      <c r="M29" s="41">
        <v>1</v>
      </c>
      <c r="N29" s="41">
        <v>0</v>
      </c>
      <c r="O29" s="41">
        <v>0</v>
      </c>
      <c r="P29" s="41">
        <v>1</v>
      </c>
      <c r="Q29" s="41">
        <v>1</v>
      </c>
      <c r="R29" s="41">
        <v>0</v>
      </c>
      <c r="S29" s="41">
        <v>0</v>
      </c>
      <c r="T29" s="41">
        <v>1</v>
      </c>
      <c r="U29" s="41">
        <v>0</v>
      </c>
      <c r="V29" s="42">
        <v>11901</v>
      </c>
    </row>
    <row r="30" spans="1:22">
      <c r="A30" s="12" t="s">
        <v>22</v>
      </c>
      <c r="B30" s="30">
        <v>1200</v>
      </c>
      <c r="C30" s="37">
        <v>1</v>
      </c>
      <c r="D30" s="37">
        <v>1</v>
      </c>
      <c r="E30" s="37">
        <v>0</v>
      </c>
      <c r="F30" s="37">
        <v>1</v>
      </c>
      <c r="G30" s="37">
        <v>1</v>
      </c>
      <c r="H30" s="37">
        <v>0</v>
      </c>
      <c r="I30" s="37">
        <v>0</v>
      </c>
      <c r="J30" s="37">
        <v>0</v>
      </c>
      <c r="K30" s="37">
        <v>1</v>
      </c>
      <c r="L30" s="37">
        <v>0</v>
      </c>
      <c r="M30" s="37">
        <v>1</v>
      </c>
      <c r="N30" s="37">
        <v>0</v>
      </c>
      <c r="O30" s="37">
        <v>0</v>
      </c>
      <c r="P30" s="37">
        <v>1</v>
      </c>
      <c r="Q30" s="37">
        <v>0</v>
      </c>
      <c r="R30" s="37">
        <v>1</v>
      </c>
      <c r="S30" s="37">
        <v>1</v>
      </c>
      <c r="T30" s="37">
        <v>0</v>
      </c>
      <c r="U30" s="37">
        <v>1</v>
      </c>
      <c r="V30" s="38">
        <v>15401</v>
      </c>
    </row>
    <row r="31" spans="1:22">
      <c r="A31" s="14" t="s">
        <v>23</v>
      </c>
      <c r="B31" s="6">
        <v>1275</v>
      </c>
      <c r="C31" s="39">
        <v>1</v>
      </c>
      <c r="D31" s="39">
        <v>0</v>
      </c>
      <c r="E31" s="39">
        <v>1</v>
      </c>
      <c r="F31" s="39">
        <v>1</v>
      </c>
      <c r="G31" s="39">
        <v>1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1</v>
      </c>
      <c r="N31" s="39">
        <v>0</v>
      </c>
      <c r="O31" s="39">
        <v>1</v>
      </c>
      <c r="P31" s="39">
        <v>1</v>
      </c>
      <c r="Q31" s="39">
        <v>0</v>
      </c>
      <c r="R31" s="39">
        <v>1</v>
      </c>
      <c r="S31" s="39">
        <v>1</v>
      </c>
      <c r="T31" s="39">
        <v>0</v>
      </c>
      <c r="U31" s="39">
        <v>0</v>
      </c>
      <c r="V31" s="40">
        <v>14401</v>
      </c>
    </row>
    <row r="32" ht="14.25" spans="1:22">
      <c r="A32" s="17" t="s">
        <v>24</v>
      </c>
      <c r="B32" s="31">
        <v>-625</v>
      </c>
      <c r="C32" s="41">
        <v>1</v>
      </c>
      <c r="D32" s="41">
        <v>1</v>
      </c>
      <c r="E32" s="41">
        <v>0</v>
      </c>
      <c r="F32" s="41">
        <v>1</v>
      </c>
      <c r="G32" s="41">
        <v>0</v>
      </c>
      <c r="H32" s="41">
        <v>1</v>
      </c>
      <c r="I32" s="41">
        <v>0</v>
      </c>
      <c r="J32" s="41">
        <v>0</v>
      </c>
      <c r="K32" s="41">
        <v>1</v>
      </c>
      <c r="L32" s="41">
        <v>0</v>
      </c>
      <c r="M32" s="41">
        <v>1</v>
      </c>
      <c r="N32" s="41">
        <v>0</v>
      </c>
      <c r="O32" s="41">
        <v>1</v>
      </c>
      <c r="P32" s="41">
        <v>0</v>
      </c>
      <c r="Q32" s="41">
        <v>1</v>
      </c>
      <c r="R32" s="41">
        <v>0</v>
      </c>
      <c r="S32" s="41">
        <v>0</v>
      </c>
      <c r="T32" s="41">
        <v>0</v>
      </c>
      <c r="U32" s="41">
        <v>0</v>
      </c>
      <c r="V32" s="42">
        <v>10401</v>
      </c>
    </row>
    <row r="33" ht="14.25" spans="1:22">
      <c r="A33" s="18" t="s">
        <v>22</v>
      </c>
      <c r="B33" s="32">
        <v>-1475</v>
      </c>
      <c r="C33" s="43">
        <v>1</v>
      </c>
      <c r="D33" s="43">
        <v>1</v>
      </c>
      <c r="E33" s="43">
        <v>0</v>
      </c>
      <c r="F33" s="43">
        <v>0</v>
      </c>
      <c r="G33" s="43">
        <v>0</v>
      </c>
      <c r="H33" s="43">
        <v>1</v>
      </c>
      <c r="I33" s="43">
        <v>1</v>
      </c>
      <c r="J33" s="43">
        <v>0</v>
      </c>
      <c r="K33" s="43">
        <v>1</v>
      </c>
      <c r="L33" s="43">
        <v>0</v>
      </c>
      <c r="M33" s="43">
        <v>0</v>
      </c>
      <c r="N33" s="43">
        <v>1</v>
      </c>
      <c r="O33" s="43">
        <v>0</v>
      </c>
      <c r="P33" s="43">
        <v>0</v>
      </c>
      <c r="Q33" s="43">
        <v>1</v>
      </c>
      <c r="R33" s="43">
        <v>0</v>
      </c>
      <c r="S33" s="43">
        <v>0</v>
      </c>
      <c r="T33" s="43">
        <v>1</v>
      </c>
      <c r="U33" s="43">
        <v>1</v>
      </c>
      <c r="V33" s="44">
        <v>12901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4"/>
  <sheetViews>
    <sheetView zoomScale="85" zoomScaleNormal="85" workbookViewId="0">
      <selection activeCell="A2" sqref="A2:A34"/>
    </sheetView>
  </sheetViews>
  <sheetFormatPr defaultColWidth="9" defaultRowHeight="13.5" outlineLevelCol="1"/>
  <cols>
    <col min="1" max="1" width="6.375" style="7" customWidth="1"/>
    <col min="2" max="2" width="8.575" style="9" customWidth="1"/>
    <col min="3" max="16384" width="9" style="9"/>
  </cols>
  <sheetData>
    <row r="1" ht="14.25" spans="1:2">
      <c r="A1" s="27" t="s">
        <v>0</v>
      </c>
      <c r="B1" s="28" t="s">
        <v>31</v>
      </c>
    </row>
    <row r="2" ht="14.25" spans="1:2">
      <c r="A2" s="11" t="s">
        <v>32</v>
      </c>
      <c r="B2" s="29"/>
    </row>
    <row r="3" spans="1:2">
      <c r="A3" s="12" t="s">
        <v>22</v>
      </c>
      <c r="B3" s="30">
        <v>1025</v>
      </c>
    </row>
    <row r="4" spans="1:2">
      <c r="A4" s="14" t="s">
        <v>23</v>
      </c>
      <c r="B4" s="6">
        <v>100</v>
      </c>
    </row>
    <row r="5" spans="1:2">
      <c r="A5" s="14" t="s">
        <v>24</v>
      </c>
      <c r="B5" s="6">
        <v>825</v>
      </c>
    </row>
    <row r="6" spans="1:2">
      <c r="A6" s="14" t="s">
        <v>25</v>
      </c>
      <c r="B6" s="6">
        <v>725</v>
      </c>
    </row>
    <row r="7" spans="1:2">
      <c r="A7" s="14" t="s">
        <v>26</v>
      </c>
      <c r="B7" s="6">
        <v>1050</v>
      </c>
    </row>
    <row r="8" spans="1:2">
      <c r="A8" s="14" t="s">
        <v>27</v>
      </c>
      <c r="B8" s="6">
        <v>300</v>
      </c>
    </row>
    <row r="9" spans="1:2">
      <c r="A9" s="14" t="s">
        <v>28</v>
      </c>
      <c r="B9" s="6">
        <v>1475</v>
      </c>
    </row>
    <row r="10" spans="1:2">
      <c r="A10" s="14" t="s">
        <v>29</v>
      </c>
      <c r="B10" s="6">
        <v>-50</v>
      </c>
    </row>
    <row r="11" ht="14.25" spans="1:2">
      <c r="A11" s="15" t="s">
        <v>30</v>
      </c>
      <c r="B11" s="31">
        <v>200</v>
      </c>
    </row>
    <row r="12" spans="1:2">
      <c r="A12" s="12" t="s">
        <v>22</v>
      </c>
      <c r="B12" s="30">
        <v>400</v>
      </c>
    </row>
    <row r="13" spans="1:2">
      <c r="A13" s="14" t="s">
        <v>23</v>
      </c>
      <c r="B13" s="6">
        <v>1450</v>
      </c>
    </row>
    <row r="14" spans="1:2">
      <c r="A14" s="14" t="s">
        <v>24</v>
      </c>
      <c r="B14" s="6">
        <v>1000</v>
      </c>
    </row>
    <row r="15" spans="1:2">
      <c r="A15" s="14" t="s">
        <v>25</v>
      </c>
      <c r="B15" s="6">
        <v>-825</v>
      </c>
    </row>
    <row r="16" spans="1:2">
      <c r="A16" s="14" t="s">
        <v>26</v>
      </c>
      <c r="B16" s="6">
        <v>-75</v>
      </c>
    </row>
    <row r="17" spans="1:2">
      <c r="A17" s="14" t="s">
        <v>27</v>
      </c>
      <c r="B17" s="6">
        <v>1025</v>
      </c>
    </row>
    <row r="18" spans="1:2">
      <c r="A18" s="14" t="s">
        <v>28</v>
      </c>
      <c r="B18" s="6">
        <v>550</v>
      </c>
    </row>
    <row r="19" ht="14.25" spans="1:2">
      <c r="A19" s="15" t="s">
        <v>29</v>
      </c>
      <c r="B19" s="31">
        <v>0</v>
      </c>
    </row>
    <row r="20" spans="1:2">
      <c r="A20" s="12" t="s">
        <v>22</v>
      </c>
      <c r="B20" s="30">
        <v>800</v>
      </c>
    </row>
    <row r="21" spans="1:2">
      <c r="A21" s="14" t="s">
        <v>23</v>
      </c>
      <c r="B21" s="6">
        <v>175</v>
      </c>
    </row>
    <row r="22" spans="1:2">
      <c r="A22" s="14" t="s">
        <v>24</v>
      </c>
      <c r="B22" s="6">
        <v>-275</v>
      </c>
    </row>
    <row r="23" spans="1:2">
      <c r="A23" s="14" t="s">
        <v>25</v>
      </c>
      <c r="B23" s="6">
        <v>25</v>
      </c>
    </row>
    <row r="24" spans="1:2">
      <c r="A24" s="14" t="s">
        <v>26</v>
      </c>
      <c r="B24" s="6">
        <v>-1175</v>
      </c>
    </row>
    <row r="25" ht="14.25" spans="1:2">
      <c r="A25" s="15" t="s">
        <v>27</v>
      </c>
      <c r="B25" s="31">
        <v>1125</v>
      </c>
    </row>
    <row r="26" spans="1:2">
      <c r="A26" s="12" t="s">
        <v>22</v>
      </c>
      <c r="B26" s="30">
        <v>225</v>
      </c>
    </row>
    <row r="27" spans="1:2">
      <c r="A27" s="14" t="s">
        <v>23</v>
      </c>
      <c r="B27" s="6">
        <v>1450</v>
      </c>
    </row>
    <row r="28" spans="1:2">
      <c r="A28" s="14" t="s">
        <v>24</v>
      </c>
      <c r="B28" s="6">
        <v>1575</v>
      </c>
    </row>
    <row r="29" spans="1:2">
      <c r="A29" s="14" t="s">
        <v>25</v>
      </c>
      <c r="B29" s="6">
        <v>-1000</v>
      </c>
    </row>
    <row r="30" ht="14.25" spans="1:2">
      <c r="A30" s="15" t="s">
        <v>26</v>
      </c>
      <c r="B30" s="31">
        <v>1525</v>
      </c>
    </row>
    <row r="31" spans="1:2">
      <c r="A31" s="12" t="s">
        <v>22</v>
      </c>
      <c r="B31" s="30">
        <v>1200</v>
      </c>
    </row>
    <row r="32" spans="1:2">
      <c r="A32" s="14" t="s">
        <v>23</v>
      </c>
      <c r="B32" s="6">
        <v>1275</v>
      </c>
    </row>
    <row r="33" ht="14.25" spans="1:2">
      <c r="A33" s="17" t="s">
        <v>24</v>
      </c>
      <c r="B33" s="31">
        <v>-625</v>
      </c>
    </row>
    <row r="34" ht="14.25" spans="1:2">
      <c r="A34" s="18" t="s">
        <v>22</v>
      </c>
      <c r="B34" s="32">
        <v>-1475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I24"/>
  <sheetViews>
    <sheetView zoomScale="115" zoomScaleNormal="115" topLeftCell="A6" workbookViewId="0">
      <selection activeCell="C21" sqref="C21"/>
    </sheetView>
  </sheetViews>
  <sheetFormatPr defaultColWidth="9" defaultRowHeight="13.5"/>
  <cols>
    <col min="1" max="1" width="9" style="1"/>
    <col min="2" max="2" width="13.6333333333333" style="1" customWidth="1"/>
    <col min="3" max="4" width="12.625" style="1"/>
    <col min="5" max="5" width="9.375" style="1"/>
    <col min="6" max="12" width="12.625" style="1"/>
    <col min="13" max="16384" width="9" style="1"/>
  </cols>
  <sheetData>
    <row r="2" spans="2:9">
      <c r="C2" s="1" t="s">
        <v>33</v>
      </c>
      <c r="D2" s="1" t="s">
        <v>34</v>
      </c>
    </row>
    <row r="3" ht="14.25" spans="2:9">
      <c r="F3" s="1">
        <v>188</v>
      </c>
      <c r="G3" s="1">
        <v>236</v>
      </c>
      <c r="H3" s="1">
        <v>220</v>
      </c>
      <c r="I3" s="1">
        <v>216</v>
      </c>
    </row>
    <row r="4" ht="14.25" spans="2:9">
      <c r="B4" s="1" t="s">
        <v>35</v>
      </c>
      <c r="C4" s="1">
        <f>SUM(F4:I4)</f>
        <v>1.13333333333333</v>
      </c>
      <c r="D4" s="24">
        <f>(9*50+150+75)*C4</f>
        <v>765</v>
      </c>
      <c r="F4" s="1">
        <f>1-F3/300</f>
        <v>0.373333333333333</v>
      </c>
      <c r="G4" s="1">
        <f>1-G3/300</f>
        <v>0.213333333333333</v>
      </c>
      <c r="H4" s="1">
        <f>1-H3/300</f>
        <v>0.266666666666667</v>
      </c>
      <c r="I4" s="1">
        <f>1-I3/300</f>
        <v>0.28</v>
      </c>
    </row>
    <row r="5" spans="2:9">
      <c r="B5" s="1" t="s">
        <v>36</v>
      </c>
      <c r="C5" s="1">
        <v>23</v>
      </c>
      <c r="D5" s="1">
        <f>125*(C5)</f>
        <v>2875</v>
      </c>
    </row>
    <row r="7" ht="14.25" spans="2:9">
      <c r="B7" s="1" t="s">
        <v>37</v>
      </c>
    </row>
    <row r="8" ht="14.25" spans="2:9">
      <c r="B8" s="1" t="s">
        <v>38</v>
      </c>
      <c r="D8" s="24"/>
    </row>
    <row r="9" spans="2:9">
      <c r="B9" s="1" t="s">
        <v>39</v>
      </c>
    </row>
    <row r="11" ht="14.25" spans="2:9">
      <c r="B11" s="1" t="s">
        <v>40</v>
      </c>
    </row>
    <row r="12" ht="14.25" spans="2:9">
      <c r="B12" s="1" t="s">
        <v>41</v>
      </c>
      <c r="D12" s="24"/>
    </row>
    <row r="13" ht="14.25"/>
    <row r="14" ht="14.25" spans="2:9">
      <c r="B14" s="1" t="s">
        <v>42</v>
      </c>
      <c r="D14" s="24"/>
    </row>
    <row r="16" spans="2:9">
      <c r="B16" s="1" t="s">
        <v>43</v>
      </c>
    </row>
    <row r="17" spans="2:4">
      <c r="B17" s="1" t="s">
        <v>44</v>
      </c>
    </row>
    <row r="18" spans="2:4">
      <c r="B18" s="1" t="s">
        <v>45</v>
      </c>
    </row>
    <row r="20" spans="2:4">
      <c r="B20" s="1" t="s">
        <v>46</v>
      </c>
      <c r="C20" s="1">
        <v>6105.5</v>
      </c>
    </row>
    <row r="21" spans="2:4">
      <c r="B21" s="1" t="s">
        <v>47</v>
      </c>
      <c r="C21" s="25">
        <f>C20/32</f>
        <v>190.796875</v>
      </c>
    </row>
    <row r="23" spans="2:4">
      <c r="B23" s="1" t="s">
        <v>48</v>
      </c>
    </row>
    <row r="24" spans="2:4">
      <c r="D24" s="2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3"/>
  <sheetViews>
    <sheetView zoomScale="115" zoomScaleNormal="115" workbookViewId="0">
      <selection activeCell="B23" sqref="B23"/>
    </sheetView>
  </sheetViews>
  <sheetFormatPr defaultColWidth="9" defaultRowHeight="13.5" outlineLevelCol="4"/>
  <cols>
    <col min="1" max="1" width="11.5" style="19"/>
    <col min="2" max="2" width="13.275" style="19" customWidth="1"/>
    <col min="3" max="3" width="12.5583333333333" style="19" customWidth="1"/>
    <col min="4" max="5" width="13.75" style="19"/>
    <col min="6" max="16384" width="9" style="19"/>
  </cols>
  <sheetData>
    <row r="2" spans="1:5">
      <c r="A2" s="20"/>
      <c r="B2" s="20">
        <v>0</v>
      </c>
      <c r="E2" s="19" t="s">
        <v>49</v>
      </c>
    </row>
    <row r="3" spans="1:5">
      <c r="A3" s="21" t="s">
        <v>50</v>
      </c>
      <c r="B3" s="22">
        <f>C3+D3</f>
        <v>232.452119</v>
      </c>
      <c r="C3" s="22">
        <v>423.252119</v>
      </c>
      <c r="D3" s="19">
        <v>-190.8</v>
      </c>
      <c r="E3" s="19">
        <f>B3</f>
        <v>232.452119</v>
      </c>
    </row>
    <row r="4" spans="1:5">
      <c r="A4" s="21" t="s">
        <v>20</v>
      </c>
      <c r="B4" s="23">
        <v>-121.027542</v>
      </c>
      <c r="E4" s="19">
        <f>B4*(2*B17-1)</f>
        <v>-7.11926603738784</v>
      </c>
    </row>
    <row r="5" spans="1:5">
      <c r="A5" s="21" t="s">
        <v>7</v>
      </c>
      <c r="B5" s="23">
        <v>-339.777542</v>
      </c>
      <c r="E5" s="19">
        <f>B5*(2*B17-1)</f>
        <v>-19.9869110373878</v>
      </c>
    </row>
    <row r="6" spans="1:5">
      <c r="A6" s="21" t="s">
        <v>10</v>
      </c>
      <c r="B6" s="23">
        <v>-323.622881</v>
      </c>
      <c r="E6" s="19">
        <f>B6*(2*B17-1)</f>
        <v>-19.0366370129611</v>
      </c>
    </row>
    <row r="7" spans="1:5">
      <c r="A7" s="21" t="s">
        <v>13</v>
      </c>
      <c r="B7" s="23">
        <v>-439.247881</v>
      </c>
      <c r="E7" s="19">
        <f>B7*(2*B17-1)</f>
        <v>-25.8381065129611</v>
      </c>
    </row>
    <row r="8" spans="1:5">
      <c r="A8" s="21" t="s">
        <v>8</v>
      </c>
      <c r="B8" s="23">
        <v>-241.340042</v>
      </c>
      <c r="E8" s="19">
        <f>B8*(2*B17-1)</f>
        <v>-14.1964707873878</v>
      </c>
    </row>
    <row r="9" spans="1:5">
      <c r="A9" s="21" t="s">
        <v>19</v>
      </c>
      <c r="B9" s="23">
        <v>202.409958</v>
      </c>
      <c r="E9" s="19">
        <f>B9*(2*B17-1)</f>
        <v>11.9064662126122</v>
      </c>
    </row>
    <row r="10" spans="1:5">
      <c r="A10" s="21" t="s">
        <v>51</v>
      </c>
      <c r="B10" s="23">
        <v>-113.983051</v>
      </c>
      <c r="E10" s="19">
        <f>B10*(2*B22-1)</f>
        <v>91.1864408</v>
      </c>
    </row>
    <row r="11" spans="1:5">
      <c r="A11" s="21" t="s">
        <v>52</v>
      </c>
      <c r="B11" s="23">
        <v>-137.685381</v>
      </c>
      <c r="E11" s="19">
        <f>B11*(2*B19-1)</f>
        <v>8.09913876296112</v>
      </c>
    </row>
    <row r="12" spans="1:5">
      <c r="A12" s="19" t="s">
        <v>53</v>
      </c>
      <c r="B12" s="19">
        <v>-134.560381</v>
      </c>
      <c r="E12" s="19">
        <f>B12*(2*B19-1)</f>
        <v>7.91531526296112</v>
      </c>
    </row>
    <row r="13" spans="1:5">
      <c r="A13" s="19" t="s">
        <v>54</v>
      </c>
      <c r="B13" s="19">
        <v>-246.027542</v>
      </c>
      <c r="E13" s="19">
        <f>B13*(2*B19-1)</f>
        <v>14.4722060373878</v>
      </c>
    </row>
    <row r="14" spans="1:5">
      <c r="A14" s="19" t="s">
        <v>55</v>
      </c>
      <c r="B14" s="19">
        <v>-143.220339</v>
      </c>
      <c r="E14" s="19">
        <f>B14*(2*B23-1)</f>
        <v>6.73977958045863</v>
      </c>
    </row>
    <row r="15" spans="1:5">
      <c r="E15" s="19">
        <f>SUM(E3:E14)</f>
        <v>286.594074268295</v>
      </c>
    </row>
    <row r="16" spans="1:5">
      <c r="A16" s="19" t="s">
        <v>56</v>
      </c>
      <c r="B16" s="19">
        <v>0.26470588</v>
      </c>
    </row>
    <row r="17" spans="1:2">
      <c r="A17" s="19" t="s">
        <v>57</v>
      </c>
      <c r="B17" s="19">
        <v>0.52941176</v>
      </c>
    </row>
    <row r="18" spans="1:2">
      <c r="A18" s="19" t="s">
        <v>58</v>
      </c>
      <c r="B18" s="19">
        <f>1+B16-2*B17</f>
        <v>0.20588236</v>
      </c>
    </row>
    <row r="19" spans="1:2">
      <c r="A19" s="19" t="s">
        <v>59</v>
      </c>
      <c r="B19" s="19">
        <f>B16+B18</f>
        <v>0.47058824</v>
      </c>
    </row>
    <row r="20" spans="1:2">
      <c r="A20" s="19" t="s">
        <v>60</v>
      </c>
      <c r="B20" s="19">
        <f>1-B19</f>
        <v>0.52941176</v>
      </c>
    </row>
    <row r="22" spans="1:2">
      <c r="A22" s="19" t="s">
        <v>61</v>
      </c>
      <c r="B22" s="19">
        <v>0.1</v>
      </c>
    </row>
    <row r="23" spans="1:2">
      <c r="A23" s="19" t="s">
        <v>62</v>
      </c>
      <c r="B23" s="19">
        <f>B22*B17+(1-B17)*(1-B22)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zoomScale="85" zoomScaleNormal="85" topLeftCell="A2" workbookViewId="0">
      <selection activeCell="E3" sqref="E3"/>
    </sheetView>
  </sheetViews>
  <sheetFormatPr defaultColWidth="9" defaultRowHeight="13.5" outlineLevelCol="4"/>
  <cols>
    <col min="1" max="2" width="9" style="9"/>
    <col min="3" max="3" width="9.375" style="9"/>
    <col min="4" max="4" width="13.225" style="10" customWidth="1"/>
    <col min="5" max="5" width="12.625" style="9"/>
    <col min="6" max="16384" width="9" style="9"/>
  </cols>
  <sheetData>
    <row r="1" ht="14.25" spans="1:5">
      <c r="B1" s="9" t="s">
        <v>63</v>
      </c>
      <c r="C1" s="9" t="b">
        <v>1</v>
      </c>
      <c r="D1" s="10" t="s">
        <v>64</v>
      </c>
      <c r="E1" s="9" t="s">
        <v>65</v>
      </c>
    </row>
    <row r="2" ht="14.25" spans="1:5">
      <c r="A2" s="11" t="s">
        <v>32</v>
      </c>
      <c r="C2" s="9">
        <v>5000</v>
      </c>
      <c r="E2" s="9">
        <v>5000</v>
      </c>
    </row>
    <row r="3" spans="1:5">
      <c r="A3" s="12" t="s">
        <v>22</v>
      </c>
      <c r="B3" s="9">
        <v>1025</v>
      </c>
      <c r="C3" s="9">
        <f>C2+B3-190.8</f>
        <v>5834.2</v>
      </c>
      <c r="D3" s="13">
        <v>917.372881355932</v>
      </c>
      <c r="E3" s="9">
        <f>E2+D3-190.8</f>
        <v>5726.57288135593</v>
      </c>
    </row>
    <row r="4" spans="1:5">
      <c r="A4" s="14" t="s">
        <v>23</v>
      </c>
      <c r="B4" s="9">
        <v>100</v>
      </c>
      <c r="C4" s="9">
        <f t="shared" ref="C4:C34" si="0">C3+B4-190.8</f>
        <v>5743.4</v>
      </c>
      <c r="D4" s="13">
        <v>104.661016949152</v>
      </c>
      <c r="E4" s="9">
        <f t="shared" ref="E3:E34" si="1">E3+D4-190.8</f>
        <v>5640.43389830508</v>
      </c>
    </row>
    <row r="5" spans="1:5">
      <c r="A5" s="14" t="s">
        <v>24</v>
      </c>
      <c r="B5" s="9">
        <v>825</v>
      </c>
      <c r="C5" s="9">
        <f t="shared" si="0"/>
        <v>6377.6</v>
      </c>
      <c r="D5" s="13">
        <v>564.618644067796</v>
      </c>
      <c r="E5" s="9">
        <f t="shared" si="1"/>
        <v>6014.25254237288</v>
      </c>
    </row>
    <row r="6" spans="1:5">
      <c r="A6" s="14" t="s">
        <v>25</v>
      </c>
      <c r="B6" s="9">
        <v>725</v>
      </c>
      <c r="C6" s="9">
        <f t="shared" si="0"/>
        <v>6911.8</v>
      </c>
      <c r="D6" s="13">
        <v>834.322033898306</v>
      </c>
      <c r="E6" s="9">
        <f t="shared" si="1"/>
        <v>6657.77457627118</v>
      </c>
    </row>
    <row r="7" spans="1:5">
      <c r="A7" s="14" t="s">
        <v>26</v>
      </c>
      <c r="B7" s="9">
        <v>1050</v>
      </c>
      <c r="C7" s="9">
        <f t="shared" si="0"/>
        <v>7771</v>
      </c>
      <c r="D7" s="13">
        <v>741.207627118643</v>
      </c>
      <c r="E7" s="9">
        <f t="shared" si="1"/>
        <v>7208.18220338983</v>
      </c>
    </row>
    <row r="8" spans="1:5">
      <c r="A8" s="14" t="s">
        <v>27</v>
      </c>
      <c r="B8" s="9">
        <v>300</v>
      </c>
      <c r="C8" s="9">
        <f t="shared" si="0"/>
        <v>7880.2</v>
      </c>
      <c r="D8" s="13">
        <v>311.016949152542</v>
      </c>
      <c r="E8" s="9">
        <f t="shared" si="1"/>
        <v>7328.39915254237</v>
      </c>
    </row>
    <row r="9" spans="1:5">
      <c r="A9" s="14" t="s">
        <v>28</v>
      </c>
      <c r="B9" s="9">
        <v>1475</v>
      </c>
      <c r="C9" s="9">
        <f t="shared" si="0"/>
        <v>9164.4</v>
      </c>
      <c r="D9" s="13">
        <v>1576.48305084745</v>
      </c>
      <c r="E9" s="9">
        <f t="shared" si="1"/>
        <v>8714.08220338982</v>
      </c>
    </row>
    <row r="10" spans="1:5">
      <c r="A10" s="14" t="s">
        <v>29</v>
      </c>
      <c r="B10" s="9">
        <v>-50</v>
      </c>
      <c r="C10" s="9">
        <f t="shared" si="0"/>
        <v>8923.6</v>
      </c>
      <c r="D10" s="13">
        <v>52.5423728813563</v>
      </c>
      <c r="E10" s="9">
        <f t="shared" si="1"/>
        <v>8575.82457627118</v>
      </c>
    </row>
    <row r="11" ht="14.25" spans="1:5">
      <c r="A11" s="15" t="s">
        <v>30</v>
      </c>
      <c r="B11" s="9">
        <v>200</v>
      </c>
      <c r="C11" s="9">
        <f t="shared" si="0"/>
        <v>8932.8</v>
      </c>
      <c r="D11" s="13">
        <v>571.292372881356</v>
      </c>
      <c r="E11" s="9">
        <f t="shared" si="1"/>
        <v>8956.31694915253</v>
      </c>
    </row>
    <row r="12" spans="1:5">
      <c r="A12" s="12" t="s">
        <v>22</v>
      </c>
      <c r="B12" s="9">
        <v>400</v>
      </c>
      <c r="C12" s="9">
        <f t="shared" si="0"/>
        <v>9142</v>
      </c>
      <c r="D12" s="16">
        <v>-350.953389830508</v>
      </c>
      <c r="E12" s="9">
        <f t="shared" si="1"/>
        <v>8414.56355932203</v>
      </c>
    </row>
    <row r="13" spans="1:5">
      <c r="A13" s="14" t="s">
        <v>23</v>
      </c>
      <c r="B13" s="9">
        <v>1450</v>
      </c>
      <c r="C13" s="9">
        <f t="shared" si="0"/>
        <v>10401.2</v>
      </c>
      <c r="D13" s="13">
        <v>992.266949152541</v>
      </c>
      <c r="E13" s="9">
        <f t="shared" si="1"/>
        <v>9216.03050847457</v>
      </c>
    </row>
    <row r="14" spans="1:5">
      <c r="A14" s="14" t="s">
        <v>24</v>
      </c>
      <c r="B14" s="9">
        <v>1000</v>
      </c>
      <c r="C14" s="9">
        <f t="shared" si="0"/>
        <v>11210.4</v>
      </c>
      <c r="D14" s="13">
        <v>796.927966101694</v>
      </c>
      <c r="E14" s="9">
        <f t="shared" si="1"/>
        <v>9822.15847457626</v>
      </c>
    </row>
    <row r="15" spans="1:5">
      <c r="A15" s="14" t="s">
        <v>25</v>
      </c>
      <c r="B15" s="9">
        <v>-825</v>
      </c>
      <c r="C15" s="9">
        <f t="shared" si="0"/>
        <v>10194.6</v>
      </c>
      <c r="D15" s="16">
        <v>-357.627118644067</v>
      </c>
      <c r="E15" s="9">
        <f t="shared" si="1"/>
        <v>9273.7313559322</v>
      </c>
    </row>
    <row r="16" spans="1:5">
      <c r="A16" s="14" t="s">
        <v>26</v>
      </c>
      <c r="B16" s="9">
        <v>-75</v>
      </c>
      <c r="C16" s="9">
        <f t="shared" si="0"/>
        <v>9928.8</v>
      </c>
      <c r="D16" s="13">
        <v>-60.0635593220342</v>
      </c>
      <c r="E16" s="9">
        <f t="shared" si="1"/>
        <v>9022.86779661017</v>
      </c>
    </row>
    <row r="17" spans="1:5">
      <c r="A17" s="14" t="s">
        <v>27</v>
      </c>
      <c r="B17" s="9">
        <v>1025</v>
      </c>
      <c r="C17" s="9">
        <f t="shared" si="0"/>
        <v>10763</v>
      </c>
      <c r="D17" s="13">
        <v>1025.31779661016</v>
      </c>
      <c r="E17" s="9">
        <f t="shared" si="1"/>
        <v>9857.38559322033</v>
      </c>
    </row>
    <row r="18" spans="1:5">
      <c r="A18" s="14" t="s">
        <v>28</v>
      </c>
      <c r="B18" s="9">
        <v>550</v>
      </c>
      <c r="C18" s="9">
        <f t="shared" si="0"/>
        <v>11122.2</v>
      </c>
      <c r="D18" s="13">
        <v>601.271186440677</v>
      </c>
      <c r="E18" s="9">
        <f t="shared" si="1"/>
        <v>10267.856779661</v>
      </c>
    </row>
    <row r="19" ht="14.25" spans="1:5">
      <c r="A19" s="15" t="s">
        <v>29</v>
      </c>
      <c r="B19" s="9">
        <v>0</v>
      </c>
      <c r="C19" s="9">
        <f t="shared" si="0"/>
        <v>10931.4</v>
      </c>
      <c r="D19" s="16">
        <v>-478.072033898305</v>
      </c>
      <c r="E19" s="9">
        <f t="shared" si="1"/>
        <v>9598.9847457627</v>
      </c>
    </row>
    <row r="20" spans="1:5">
      <c r="A20" s="12" t="s">
        <v>22</v>
      </c>
      <c r="B20" s="9">
        <v>800</v>
      </c>
      <c r="C20" s="9">
        <f t="shared" si="0"/>
        <v>11540.6</v>
      </c>
      <c r="D20" s="13">
        <v>721.716101694915</v>
      </c>
      <c r="E20" s="9">
        <f t="shared" si="1"/>
        <v>10129.9008474576</v>
      </c>
    </row>
    <row r="21" spans="1:5">
      <c r="A21" s="14" t="s">
        <v>23</v>
      </c>
      <c r="B21" s="9">
        <v>175</v>
      </c>
      <c r="C21" s="9">
        <f t="shared" si="0"/>
        <v>11524.8</v>
      </c>
      <c r="D21" s="13">
        <v>21.7161016949149</v>
      </c>
      <c r="E21" s="9">
        <f t="shared" si="1"/>
        <v>9960.81694915253</v>
      </c>
    </row>
    <row r="22" spans="1:5">
      <c r="A22" s="14" t="s">
        <v>24</v>
      </c>
      <c r="B22" s="9">
        <v>-275</v>
      </c>
      <c r="C22" s="9">
        <f t="shared" si="0"/>
        <v>11059</v>
      </c>
      <c r="D22" s="13">
        <v>-106.56779661017</v>
      </c>
      <c r="E22" s="9">
        <f t="shared" si="1"/>
        <v>9663.44915254236</v>
      </c>
    </row>
    <row r="23" spans="1:5">
      <c r="A23" s="14" t="s">
        <v>25</v>
      </c>
      <c r="B23" s="9">
        <v>25</v>
      </c>
      <c r="C23" s="9">
        <f t="shared" si="0"/>
        <v>10893.2</v>
      </c>
      <c r="D23" s="13">
        <v>620.762711864405</v>
      </c>
      <c r="E23" s="9">
        <f t="shared" si="1"/>
        <v>10093.4118644068</v>
      </c>
    </row>
    <row r="24" spans="1:5">
      <c r="A24" s="14" t="s">
        <v>26</v>
      </c>
      <c r="B24" s="9">
        <v>-1175</v>
      </c>
      <c r="C24" s="9">
        <f t="shared" si="0"/>
        <v>9527.40000000001</v>
      </c>
      <c r="D24" s="16">
        <v>-1502.22457627118</v>
      </c>
      <c r="E24" s="9">
        <f t="shared" si="1"/>
        <v>8400.38728813559</v>
      </c>
    </row>
    <row r="25" ht="14.25" spans="1:5">
      <c r="A25" s="15" t="s">
        <v>27</v>
      </c>
      <c r="B25" s="9">
        <v>1125</v>
      </c>
      <c r="C25" s="9">
        <f t="shared" si="0"/>
        <v>10461.6</v>
      </c>
      <c r="D25" s="13">
        <v>1029.97881355932</v>
      </c>
      <c r="E25" s="9">
        <f t="shared" si="1"/>
        <v>9239.56610169491</v>
      </c>
    </row>
    <row r="26" spans="1:5">
      <c r="A26" s="12" t="s">
        <v>22</v>
      </c>
      <c r="B26" s="9">
        <v>225</v>
      </c>
      <c r="C26" s="9">
        <f t="shared" si="0"/>
        <v>10495.8</v>
      </c>
      <c r="D26" s="13">
        <v>358.792372881356</v>
      </c>
      <c r="E26" s="9">
        <f t="shared" si="1"/>
        <v>9407.55847457627</v>
      </c>
    </row>
    <row r="27" spans="1:5">
      <c r="A27" s="14" t="s">
        <v>23</v>
      </c>
      <c r="B27" s="9">
        <v>1450</v>
      </c>
      <c r="C27" s="9">
        <f t="shared" si="0"/>
        <v>11755</v>
      </c>
      <c r="D27" s="13">
        <v>1657.09745762711</v>
      </c>
      <c r="E27" s="9">
        <f t="shared" si="1"/>
        <v>10873.8559322034</v>
      </c>
    </row>
    <row r="28" spans="1:5">
      <c r="A28" s="14" t="s">
        <v>24</v>
      </c>
      <c r="B28" s="9">
        <v>1575</v>
      </c>
      <c r="C28" s="9">
        <f t="shared" si="0"/>
        <v>13139.2</v>
      </c>
      <c r="D28" s="13">
        <v>1663.4533898305</v>
      </c>
      <c r="E28" s="9">
        <f t="shared" si="1"/>
        <v>12346.5093220339</v>
      </c>
    </row>
    <row r="29" spans="1:5">
      <c r="A29" s="14" t="s">
        <v>25</v>
      </c>
      <c r="B29" s="9">
        <v>-1000</v>
      </c>
      <c r="C29" s="9">
        <f t="shared" si="0"/>
        <v>11948.4</v>
      </c>
      <c r="D29" s="13">
        <v>-611.228813559322</v>
      </c>
      <c r="E29" s="9">
        <f t="shared" si="1"/>
        <v>11544.4805084746</v>
      </c>
    </row>
    <row r="30" ht="14.25" spans="1:5">
      <c r="A30" s="15" t="s">
        <v>26</v>
      </c>
      <c r="B30" s="9">
        <v>1525</v>
      </c>
      <c r="C30" s="9">
        <f t="shared" si="0"/>
        <v>13282.6</v>
      </c>
      <c r="D30" s="13">
        <v>1396.8220338983</v>
      </c>
      <c r="E30" s="9">
        <f t="shared" si="1"/>
        <v>12750.5025423729</v>
      </c>
    </row>
    <row r="31" spans="1:5">
      <c r="A31" s="12" t="s">
        <v>22</v>
      </c>
      <c r="B31" s="9">
        <v>1200</v>
      </c>
      <c r="C31" s="9">
        <f t="shared" si="0"/>
        <v>14291.8</v>
      </c>
      <c r="D31" s="13">
        <v>1285.59322033898</v>
      </c>
      <c r="E31" s="9">
        <f t="shared" si="1"/>
        <v>13845.2957627118</v>
      </c>
    </row>
    <row r="32" spans="1:5">
      <c r="A32" s="14" t="s">
        <v>23</v>
      </c>
      <c r="B32" s="9">
        <v>1275</v>
      </c>
      <c r="C32" s="9">
        <f t="shared" si="0"/>
        <v>15376</v>
      </c>
      <c r="D32" s="13">
        <v>1138.34745762711</v>
      </c>
      <c r="E32" s="9">
        <f t="shared" si="1"/>
        <v>14792.8432203389</v>
      </c>
    </row>
    <row r="33" ht="14.25" spans="1:5">
      <c r="A33" s="17" t="s">
        <v>24</v>
      </c>
      <c r="B33" s="9">
        <v>-625</v>
      </c>
      <c r="C33" s="9">
        <f t="shared" si="0"/>
        <v>14560.2</v>
      </c>
      <c r="D33" s="13">
        <v>-416.419491525423</v>
      </c>
      <c r="E33" s="9">
        <f t="shared" si="1"/>
        <v>14185.6237288135</v>
      </c>
    </row>
    <row r="34" ht="14.25" spans="1:5">
      <c r="A34" s="18" t="s">
        <v>22</v>
      </c>
      <c r="B34" s="9">
        <v>-1475</v>
      </c>
      <c r="C34" s="9">
        <f t="shared" si="0"/>
        <v>12894.4</v>
      </c>
      <c r="D34" s="16">
        <v>-1100.42372881355</v>
      </c>
      <c r="E34" s="9">
        <f t="shared" si="1"/>
        <v>12894.4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workbookViewId="0">
      <selection activeCell="H45" sqref="H45"/>
    </sheetView>
  </sheetViews>
  <sheetFormatPr defaultColWidth="9" defaultRowHeight="13.5"/>
  <cols>
    <col min="1" max="1" width="9" style="7"/>
    <col min="2" max="2" width="13.75" style="7"/>
    <col min="3" max="3" width="9" style="7" customWidth="1"/>
    <col min="4" max="8" width="9" style="7"/>
    <col min="9" max="9" width="9" style="7" customWidth="1"/>
    <col min="10" max="13" width="9" style="7" hidden="1" customWidth="1"/>
    <col min="14" max="15" width="9" style="7"/>
    <col min="16" max="21" width="9" style="7" hidden="1" customWidth="1"/>
    <col min="22" max="16384" width="9" style="7"/>
  </cols>
  <sheetData>
    <row r="1" s="5" customFormat="1" spans="1:23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7" t="s">
        <v>66</v>
      </c>
    </row>
    <row r="2" s="5" customFormat="1" spans="1:23">
      <c r="A2" s="6" t="s">
        <v>22</v>
      </c>
      <c r="B2" s="6">
        <v>270</v>
      </c>
      <c r="C2" s="8">
        <v>1</v>
      </c>
      <c r="D2" s="8">
        <v>0</v>
      </c>
      <c r="E2" s="8">
        <v>1</v>
      </c>
      <c r="F2" s="8">
        <v>0</v>
      </c>
      <c r="G2" s="8">
        <v>0</v>
      </c>
      <c r="H2" s="8">
        <v>0</v>
      </c>
      <c r="I2" s="8">
        <v>1</v>
      </c>
      <c r="J2" s="8">
        <v>0</v>
      </c>
      <c r="K2" s="8">
        <v>0</v>
      </c>
      <c r="L2" s="8">
        <v>0</v>
      </c>
      <c r="M2" s="8">
        <v>1</v>
      </c>
      <c r="N2" s="8">
        <v>0</v>
      </c>
      <c r="O2" s="8">
        <v>1</v>
      </c>
      <c r="P2" s="8">
        <v>0</v>
      </c>
      <c r="Q2" s="8">
        <v>1</v>
      </c>
      <c r="R2" s="8">
        <v>1</v>
      </c>
      <c r="S2" s="8">
        <v>0</v>
      </c>
      <c r="T2" s="8">
        <v>0</v>
      </c>
      <c r="U2" s="8">
        <v>1</v>
      </c>
      <c r="V2" s="8">
        <v>9401</v>
      </c>
      <c r="W2" s="7">
        <f>IF(V2&lt;10500,1,0)</f>
        <v>1</v>
      </c>
    </row>
    <row r="3" s="5" customFormat="1" hidden="1" spans="1:23">
      <c r="A3" s="6" t="s">
        <v>23</v>
      </c>
      <c r="B3" s="6">
        <v>195</v>
      </c>
      <c r="C3" s="8">
        <v>1</v>
      </c>
      <c r="D3" s="8">
        <v>0</v>
      </c>
      <c r="E3" s="8">
        <v>1</v>
      </c>
      <c r="F3" s="8">
        <v>0</v>
      </c>
      <c r="G3" s="8">
        <v>1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14901</v>
      </c>
      <c r="W3" s="7"/>
    </row>
    <row r="4" s="5" customFormat="1" hidden="1" spans="1:23">
      <c r="A4" s="6" t="s">
        <v>24</v>
      </c>
      <c r="B4" s="6">
        <v>55</v>
      </c>
      <c r="C4" s="8">
        <v>1</v>
      </c>
      <c r="D4" s="8">
        <v>0</v>
      </c>
      <c r="E4" s="8">
        <v>0</v>
      </c>
      <c r="F4" s="8">
        <v>1</v>
      </c>
      <c r="G4" s="8">
        <v>0</v>
      </c>
      <c r="H4" s="8">
        <v>1</v>
      </c>
      <c r="I4" s="8">
        <v>1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1</v>
      </c>
      <c r="S4" s="8">
        <v>0</v>
      </c>
      <c r="T4" s="8">
        <v>1</v>
      </c>
      <c r="U4" s="8">
        <v>1</v>
      </c>
      <c r="V4" s="8">
        <v>9901</v>
      </c>
      <c r="W4" s="7"/>
    </row>
    <row r="5" s="5" customFormat="1" spans="1:23">
      <c r="A5" s="6" t="s">
        <v>25</v>
      </c>
      <c r="B5" s="6">
        <v>-205</v>
      </c>
      <c r="C5" s="8">
        <v>1</v>
      </c>
      <c r="D5" s="8">
        <v>1</v>
      </c>
      <c r="E5" s="8">
        <v>0</v>
      </c>
      <c r="F5" s="8">
        <v>1</v>
      </c>
      <c r="G5" s="8">
        <v>1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1</v>
      </c>
      <c r="N5" s="8">
        <v>1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13901</v>
      </c>
      <c r="W5" s="7">
        <f>IF(V5&lt;10500,1,0)</f>
        <v>0</v>
      </c>
    </row>
    <row r="6" s="5" customFormat="1" spans="1:23">
      <c r="A6" s="6" t="s">
        <v>26</v>
      </c>
      <c r="B6" s="6">
        <v>275</v>
      </c>
      <c r="C6" s="8">
        <v>1</v>
      </c>
      <c r="D6" s="8">
        <v>0</v>
      </c>
      <c r="E6" s="8">
        <v>1</v>
      </c>
      <c r="F6" s="8">
        <v>1</v>
      </c>
      <c r="G6" s="8">
        <v>0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1</v>
      </c>
      <c r="N6" s="8">
        <v>1</v>
      </c>
      <c r="O6" s="8">
        <v>1</v>
      </c>
      <c r="P6" s="8">
        <v>1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12901</v>
      </c>
      <c r="W6" s="7">
        <f>IF(V6&lt;10500,1,0)</f>
        <v>0</v>
      </c>
    </row>
    <row r="7" s="5" customFormat="1" hidden="1" spans="1:23">
      <c r="A7" s="6" t="s">
        <v>27</v>
      </c>
      <c r="B7" s="6">
        <v>410</v>
      </c>
      <c r="C7" s="8">
        <v>1</v>
      </c>
      <c r="D7" s="8">
        <v>1</v>
      </c>
      <c r="E7" s="8">
        <v>0</v>
      </c>
      <c r="F7" s="8">
        <v>1</v>
      </c>
      <c r="G7" s="8">
        <v>1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0</v>
      </c>
      <c r="S7" s="8">
        <v>1</v>
      </c>
      <c r="T7" s="8">
        <v>1</v>
      </c>
      <c r="U7" s="8">
        <v>1</v>
      </c>
      <c r="V7" s="8">
        <v>12901</v>
      </c>
      <c r="W7" s="7"/>
    </row>
    <row r="8" s="5" customFormat="1" spans="1:23">
      <c r="A8" s="6" t="s">
        <v>28</v>
      </c>
      <c r="B8" s="6">
        <v>-425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1</v>
      </c>
      <c r="J8" s="8">
        <v>0</v>
      </c>
      <c r="K8" s="8">
        <v>0</v>
      </c>
      <c r="L8" s="8">
        <v>0</v>
      </c>
      <c r="M8" s="8">
        <v>1</v>
      </c>
      <c r="N8" s="8">
        <v>1</v>
      </c>
      <c r="O8" s="8">
        <v>1</v>
      </c>
      <c r="P8" s="8">
        <v>0</v>
      </c>
      <c r="Q8" s="8">
        <v>0</v>
      </c>
      <c r="R8" s="8">
        <v>1</v>
      </c>
      <c r="S8" s="8">
        <v>1</v>
      </c>
      <c r="T8" s="8">
        <v>0</v>
      </c>
      <c r="U8" s="8">
        <v>1</v>
      </c>
      <c r="V8" s="8">
        <v>11901</v>
      </c>
      <c r="W8" s="7">
        <f>IF(V8&lt;10500,1,0)</f>
        <v>0</v>
      </c>
    </row>
    <row r="9" s="5" customFormat="1" hidden="1" spans="1:23">
      <c r="A9" s="6" t="s">
        <v>29</v>
      </c>
      <c r="B9" s="6">
        <v>-300</v>
      </c>
      <c r="C9" s="8">
        <v>1</v>
      </c>
      <c r="D9" s="8">
        <v>1</v>
      </c>
      <c r="E9" s="8">
        <v>1</v>
      </c>
      <c r="F9" s="8">
        <v>0</v>
      </c>
      <c r="G9" s="8">
        <v>0</v>
      </c>
      <c r="H9" s="8">
        <v>1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1</v>
      </c>
      <c r="O9" s="8">
        <v>0</v>
      </c>
      <c r="P9" s="8">
        <v>0</v>
      </c>
      <c r="Q9" s="8">
        <v>1</v>
      </c>
      <c r="R9" s="8">
        <v>1</v>
      </c>
      <c r="S9" s="8">
        <v>0</v>
      </c>
      <c r="T9" s="8">
        <v>1</v>
      </c>
      <c r="U9" s="8">
        <v>1</v>
      </c>
      <c r="V9" s="8">
        <v>14901</v>
      </c>
      <c r="W9" s="7"/>
    </row>
    <row r="10" s="5" customFormat="1" hidden="1" spans="1:23">
      <c r="A10" s="6" t="s">
        <v>30</v>
      </c>
      <c r="B10" s="6">
        <v>240</v>
      </c>
      <c r="C10" s="8">
        <v>1</v>
      </c>
      <c r="D10" s="8">
        <v>1</v>
      </c>
      <c r="E10" s="8">
        <v>0</v>
      </c>
      <c r="F10" s="8">
        <v>1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0</v>
      </c>
      <c r="T10" s="8">
        <v>0</v>
      </c>
      <c r="U10" s="8">
        <v>1</v>
      </c>
      <c r="V10" s="8">
        <v>12901</v>
      </c>
      <c r="W10" s="7"/>
    </row>
    <row r="11" s="5" customFormat="1" spans="1:23">
      <c r="A11" s="6" t="s">
        <v>22</v>
      </c>
      <c r="B11" s="6">
        <v>40</v>
      </c>
      <c r="C11" s="8">
        <v>1</v>
      </c>
      <c r="D11" s="8">
        <v>0</v>
      </c>
      <c r="E11" s="8">
        <v>1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1</v>
      </c>
      <c r="P11" s="8">
        <v>0</v>
      </c>
      <c r="Q11" s="8">
        <v>0</v>
      </c>
      <c r="R11" s="8">
        <v>1</v>
      </c>
      <c r="S11" s="8">
        <v>0</v>
      </c>
      <c r="T11" s="8">
        <v>1</v>
      </c>
      <c r="U11" s="8">
        <v>1</v>
      </c>
      <c r="V11" s="8">
        <v>14401</v>
      </c>
      <c r="W11" s="7">
        <f>IF(V11&lt;10500,1,0)</f>
        <v>0</v>
      </c>
    </row>
    <row r="12" s="6" customFormat="1" hidden="1" spans="1:23">
      <c r="A12" s="6" t="s">
        <v>23</v>
      </c>
      <c r="B12" s="6">
        <v>675</v>
      </c>
      <c r="C12" s="8">
        <v>1</v>
      </c>
      <c r="D12" s="8">
        <v>0</v>
      </c>
      <c r="E12" s="8">
        <v>0</v>
      </c>
      <c r="F12" s="8">
        <v>1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1</v>
      </c>
      <c r="Q12" s="8">
        <v>0</v>
      </c>
      <c r="R12" s="8">
        <v>1</v>
      </c>
      <c r="S12" s="8">
        <v>1</v>
      </c>
      <c r="T12" s="8">
        <v>1</v>
      </c>
      <c r="U12" s="8">
        <v>0</v>
      </c>
      <c r="V12" s="8">
        <v>11901</v>
      </c>
      <c r="W12" s="7"/>
    </row>
    <row r="13" s="6" customFormat="1" hidden="1" spans="1:23">
      <c r="A13" s="6" t="s">
        <v>24</v>
      </c>
      <c r="B13" s="6">
        <v>565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v>1</v>
      </c>
      <c r="S13" s="8">
        <v>1</v>
      </c>
      <c r="T13" s="8">
        <v>0</v>
      </c>
      <c r="U13" s="8">
        <v>0</v>
      </c>
      <c r="V13" s="8">
        <v>15401</v>
      </c>
      <c r="W13" s="7"/>
    </row>
    <row r="14" s="6" customFormat="1" hidden="1" spans="1:23">
      <c r="A14" s="6" t="s">
        <v>25</v>
      </c>
      <c r="B14" s="6">
        <v>120</v>
      </c>
      <c r="C14" s="8">
        <v>1</v>
      </c>
      <c r="D14" s="8">
        <v>1</v>
      </c>
      <c r="E14" s="8">
        <v>1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1</v>
      </c>
      <c r="O14" s="8">
        <v>0</v>
      </c>
      <c r="P14" s="8">
        <v>1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12401</v>
      </c>
      <c r="W14" s="7"/>
    </row>
    <row r="15" s="6" customFormat="1" spans="1:23">
      <c r="A15" s="6" t="s">
        <v>26</v>
      </c>
      <c r="B15" s="6">
        <v>715</v>
      </c>
      <c r="C15" s="8">
        <v>1</v>
      </c>
      <c r="D15" s="8">
        <v>0</v>
      </c>
      <c r="E15" s="8">
        <v>0</v>
      </c>
      <c r="F15" s="8">
        <v>0</v>
      </c>
      <c r="G15" s="8">
        <v>1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  <c r="O15" s="8">
        <v>1</v>
      </c>
      <c r="P15" s="8">
        <v>0</v>
      </c>
      <c r="Q15" s="8">
        <v>1</v>
      </c>
      <c r="R15" s="8">
        <v>1</v>
      </c>
      <c r="S15" s="8">
        <v>1</v>
      </c>
      <c r="T15" s="8">
        <v>1</v>
      </c>
      <c r="U15" s="8">
        <v>0</v>
      </c>
      <c r="V15" s="8">
        <v>12901</v>
      </c>
      <c r="W15" s="7">
        <f>IF(V15&lt;10500,1,0)</f>
        <v>0</v>
      </c>
    </row>
    <row r="16" s="6" customFormat="1" spans="1:23">
      <c r="A16" s="6" t="s">
        <v>27</v>
      </c>
      <c r="B16" s="6">
        <v>745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</v>
      </c>
      <c r="N16" s="8">
        <v>0</v>
      </c>
      <c r="O16" s="8">
        <v>1</v>
      </c>
      <c r="P16" s="8">
        <v>1</v>
      </c>
      <c r="Q16" s="8">
        <v>0</v>
      </c>
      <c r="R16" s="8">
        <v>1</v>
      </c>
      <c r="S16" s="8">
        <v>1</v>
      </c>
      <c r="T16" s="8">
        <v>0</v>
      </c>
      <c r="U16" s="8">
        <v>1</v>
      </c>
      <c r="V16" s="8">
        <v>12401</v>
      </c>
      <c r="W16" s="7">
        <f>IF(V16&lt;10500,1,0)</f>
        <v>0</v>
      </c>
    </row>
    <row r="17" s="6" customFormat="1" hidden="1" spans="1:23">
      <c r="A17" s="6" t="s">
        <v>22</v>
      </c>
      <c r="B17" s="6">
        <v>-4235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0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9401</v>
      </c>
      <c r="W17" s="7"/>
    </row>
    <row r="18" s="6" customFormat="1" hidden="1" spans="1:23">
      <c r="A18" s="6" t="s">
        <v>23</v>
      </c>
      <c r="B18" s="6">
        <v>165</v>
      </c>
      <c r="C18" s="8">
        <v>1</v>
      </c>
      <c r="D18" s="8">
        <v>1</v>
      </c>
      <c r="E18" s="8">
        <v>1</v>
      </c>
      <c r="F18" s="8">
        <v>1</v>
      </c>
      <c r="G18" s="8">
        <v>0</v>
      </c>
      <c r="H18" s="8">
        <v>1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1</v>
      </c>
      <c r="U18" s="8">
        <v>0</v>
      </c>
      <c r="V18" s="8">
        <v>14901</v>
      </c>
      <c r="W18" s="7"/>
    </row>
    <row r="19" s="6" customFormat="1" spans="1:23">
      <c r="A19" s="6" t="s">
        <v>24</v>
      </c>
      <c r="B19" s="6">
        <v>65</v>
      </c>
      <c r="C19" s="8">
        <v>1</v>
      </c>
      <c r="D19" s="8">
        <v>1</v>
      </c>
      <c r="E19" s="8">
        <v>1</v>
      </c>
      <c r="F19" s="8">
        <v>1</v>
      </c>
      <c r="G19" s="8">
        <v>0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1</v>
      </c>
      <c r="P19" s="8">
        <v>1</v>
      </c>
      <c r="Q19" s="8">
        <v>0</v>
      </c>
      <c r="R19" s="8">
        <v>1</v>
      </c>
      <c r="S19" s="8">
        <v>1</v>
      </c>
      <c r="T19" s="8">
        <v>0</v>
      </c>
      <c r="U19" s="8">
        <v>0</v>
      </c>
      <c r="V19" s="8">
        <v>15901</v>
      </c>
      <c r="W19" s="7">
        <f>IF(V19&lt;10500,1,0)</f>
        <v>0</v>
      </c>
    </row>
    <row r="20" s="6" customFormat="1" hidden="1" spans="1:23">
      <c r="A20" s="6" t="s">
        <v>25</v>
      </c>
      <c r="B20" s="6">
        <v>-500</v>
      </c>
      <c r="C20" s="8">
        <v>0</v>
      </c>
      <c r="D20" s="8">
        <v>0</v>
      </c>
      <c r="E20" s="8">
        <v>0</v>
      </c>
      <c r="F20" s="8">
        <v>1</v>
      </c>
      <c r="G20" s="8">
        <v>0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1</v>
      </c>
      <c r="O20" s="8">
        <v>0</v>
      </c>
      <c r="P20" s="8">
        <v>1</v>
      </c>
      <c r="Q20" s="8">
        <v>1</v>
      </c>
      <c r="R20" s="8">
        <v>1</v>
      </c>
      <c r="S20" s="8">
        <v>0</v>
      </c>
      <c r="T20" s="8">
        <v>0</v>
      </c>
      <c r="U20" s="8">
        <v>1</v>
      </c>
      <c r="V20" s="8">
        <v>9401</v>
      </c>
      <c r="W20" s="7"/>
    </row>
    <row r="21" s="6" customFormat="1" hidden="1" spans="1:23">
      <c r="A21" s="6" t="s">
        <v>26</v>
      </c>
      <c r="B21" s="6">
        <v>510</v>
      </c>
      <c r="C21" s="8">
        <v>1</v>
      </c>
      <c r="D21" s="8">
        <v>1</v>
      </c>
      <c r="E21" s="8">
        <v>0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1</v>
      </c>
      <c r="Q21" s="8">
        <v>0</v>
      </c>
      <c r="R21" s="8">
        <v>1</v>
      </c>
      <c r="S21" s="8">
        <v>0</v>
      </c>
      <c r="T21" s="8">
        <v>1</v>
      </c>
      <c r="U21" s="8">
        <v>1</v>
      </c>
      <c r="V21" s="8">
        <v>9901</v>
      </c>
      <c r="W21" s="7"/>
    </row>
    <row r="22" s="6" customFormat="1" hidden="1" spans="1:23">
      <c r="A22" s="6" t="s">
        <v>22</v>
      </c>
      <c r="B22" s="6">
        <v>-465</v>
      </c>
      <c r="C22" s="8">
        <v>1</v>
      </c>
      <c r="D22" s="8">
        <v>1</v>
      </c>
      <c r="E22" s="8">
        <v>0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0</v>
      </c>
      <c r="P22" s="8">
        <v>1</v>
      </c>
      <c r="Q22" s="8">
        <v>1</v>
      </c>
      <c r="R22" s="8">
        <v>0</v>
      </c>
      <c r="S22" s="8">
        <v>1</v>
      </c>
      <c r="T22" s="8">
        <v>0</v>
      </c>
      <c r="U22" s="8">
        <v>1</v>
      </c>
      <c r="V22" s="8">
        <v>9901</v>
      </c>
      <c r="W22" s="7"/>
    </row>
    <row r="23" s="6" customFormat="1" spans="1:23">
      <c r="A23" s="6" t="s">
        <v>23</v>
      </c>
      <c r="B23" s="6">
        <v>125</v>
      </c>
      <c r="C23" s="8">
        <v>1</v>
      </c>
      <c r="D23" s="8">
        <v>0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0</v>
      </c>
      <c r="U23" s="8">
        <v>0</v>
      </c>
      <c r="V23" s="8">
        <v>9901</v>
      </c>
      <c r="W23" s="7">
        <f>IF(V23&lt;10500,1,0)</f>
        <v>1</v>
      </c>
    </row>
    <row r="24" s="6" customFormat="1" hidden="1" spans="1:23">
      <c r="A24" s="6" t="s">
        <v>24</v>
      </c>
      <c r="B24" s="6">
        <v>-150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0</v>
      </c>
      <c r="L24" s="8">
        <v>0</v>
      </c>
      <c r="M24" s="8">
        <v>1</v>
      </c>
      <c r="N24" s="8">
        <v>1</v>
      </c>
      <c r="O24" s="8">
        <v>0</v>
      </c>
      <c r="P24" s="8">
        <v>1</v>
      </c>
      <c r="Q24" s="8">
        <v>1</v>
      </c>
      <c r="R24" s="8">
        <v>0</v>
      </c>
      <c r="S24" s="8">
        <v>1</v>
      </c>
      <c r="T24" s="8">
        <v>0</v>
      </c>
      <c r="U24" s="8">
        <v>0</v>
      </c>
      <c r="V24" s="8">
        <v>9901</v>
      </c>
      <c r="W24" s="7"/>
    </row>
    <row r="25" s="6" customFormat="1" hidden="1" spans="1:23">
      <c r="A25" s="6" t="s">
        <v>22</v>
      </c>
      <c r="B25" s="6">
        <v>720</v>
      </c>
      <c r="C25" s="8">
        <v>1</v>
      </c>
      <c r="D25" s="8">
        <v>1</v>
      </c>
      <c r="E25" s="8">
        <v>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1</v>
      </c>
      <c r="Q25" s="8">
        <v>1</v>
      </c>
      <c r="R25" s="8">
        <v>1</v>
      </c>
      <c r="S25" s="8">
        <v>0</v>
      </c>
      <c r="T25" s="8">
        <v>1</v>
      </c>
      <c r="U25" s="8">
        <v>0</v>
      </c>
      <c r="V25" s="8">
        <v>8901</v>
      </c>
      <c r="W25" s="7"/>
    </row>
    <row r="26" s="6" customFormat="1" spans="1:23">
      <c r="A26" s="6" t="s">
        <v>23</v>
      </c>
      <c r="B26" s="6">
        <v>600</v>
      </c>
      <c r="C26" s="8">
        <v>1</v>
      </c>
      <c r="D26" s="8">
        <v>1</v>
      </c>
      <c r="E26" s="8">
        <v>0</v>
      </c>
      <c r="F26" s="8">
        <v>1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9401</v>
      </c>
      <c r="W26" s="7">
        <f>IF(V26&lt;10500,1,0)</f>
        <v>1</v>
      </c>
    </row>
    <row r="27" s="6" customFormat="1" hidden="1" spans="1:23">
      <c r="A27" s="6" t="s">
        <v>22</v>
      </c>
      <c r="B27" s="6">
        <v>-425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  <c r="H27" s="8">
        <v>1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1</v>
      </c>
      <c r="S27" s="8">
        <v>1</v>
      </c>
      <c r="T27" s="8">
        <v>0</v>
      </c>
      <c r="U27" s="8">
        <v>1</v>
      </c>
      <c r="V27" s="8">
        <v>9901</v>
      </c>
      <c r="W27" s="7"/>
    </row>
    <row r="28" s="6" customFormat="1" spans="1:23">
      <c r="A28" s="6" t="s">
        <v>23</v>
      </c>
      <c r="B28" s="6">
        <v>570</v>
      </c>
      <c r="C28" s="8">
        <v>1</v>
      </c>
      <c r="D28" s="8">
        <v>0</v>
      </c>
      <c r="E28" s="8">
        <v>1</v>
      </c>
      <c r="F28" s="8">
        <v>0</v>
      </c>
      <c r="G28" s="8">
        <v>1</v>
      </c>
      <c r="H28" s="8">
        <v>1</v>
      </c>
      <c r="I28" s="8">
        <v>1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1</v>
      </c>
      <c r="P28" s="8">
        <v>0</v>
      </c>
      <c r="Q28" s="8">
        <v>1</v>
      </c>
      <c r="R28" s="8">
        <v>1</v>
      </c>
      <c r="S28" s="8">
        <v>0</v>
      </c>
      <c r="T28" s="8">
        <v>0</v>
      </c>
      <c r="U28" s="8">
        <v>0</v>
      </c>
      <c r="V28" s="8">
        <v>13901</v>
      </c>
      <c r="W28" s="7">
        <f>IF(V28&lt;10500,1,0)</f>
        <v>0</v>
      </c>
    </row>
    <row r="29" s="6" customFormat="1" hidden="1" spans="1:23">
      <c r="A29" s="6" t="s">
        <v>24</v>
      </c>
      <c r="B29" s="6">
        <v>95</v>
      </c>
      <c r="C29" s="8">
        <v>1</v>
      </c>
      <c r="D29" s="8">
        <v>1</v>
      </c>
      <c r="E29" s="8">
        <v>0</v>
      </c>
      <c r="F29" s="8">
        <v>1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1</v>
      </c>
      <c r="R29" s="8">
        <v>0</v>
      </c>
      <c r="S29" s="8">
        <v>1</v>
      </c>
      <c r="T29" s="8">
        <v>1</v>
      </c>
      <c r="U29" s="8">
        <v>0</v>
      </c>
      <c r="V29" s="8">
        <v>10401</v>
      </c>
      <c r="W29" s="7"/>
    </row>
    <row r="30" s="6" customFormat="1" hidden="1" spans="1:23">
      <c r="A30" s="6" t="s">
        <v>22</v>
      </c>
      <c r="B30" s="6">
        <v>180</v>
      </c>
      <c r="C30" s="8">
        <v>1</v>
      </c>
      <c r="D30" s="8">
        <v>0</v>
      </c>
      <c r="E30" s="8">
        <v>0</v>
      </c>
      <c r="F30" s="8">
        <v>1</v>
      </c>
      <c r="G30" s="8">
        <v>0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1</v>
      </c>
      <c r="Q30" s="8">
        <v>1</v>
      </c>
      <c r="R30" s="8">
        <v>1</v>
      </c>
      <c r="S30" s="8">
        <v>0</v>
      </c>
      <c r="T30" s="8">
        <v>1</v>
      </c>
      <c r="U30" s="8">
        <v>0</v>
      </c>
      <c r="V30" s="8">
        <v>9901</v>
      </c>
      <c r="W30" s="7"/>
    </row>
    <row r="31" s="6" customFormat="1" hidden="1" spans="1:23">
      <c r="A31" s="6" t="s">
        <v>23</v>
      </c>
      <c r="B31" s="6">
        <v>190</v>
      </c>
      <c r="C31" s="8">
        <v>0</v>
      </c>
      <c r="D31" s="8">
        <v>1</v>
      </c>
      <c r="E31" s="8">
        <v>0</v>
      </c>
      <c r="F31" s="8">
        <v>1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1</v>
      </c>
      <c r="R31" s="8">
        <v>1</v>
      </c>
      <c r="S31" s="8">
        <v>1</v>
      </c>
      <c r="T31" s="8">
        <v>1</v>
      </c>
      <c r="U31" s="8">
        <v>0</v>
      </c>
      <c r="V31" s="8">
        <v>10401</v>
      </c>
      <c r="W31" s="7"/>
    </row>
    <row r="32" s="6" customFormat="1" spans="1:23">
      <c r="A32" s="6" t="s">
        <v>24</v>
      </c>
      <c r="B32" s="6">
        <v>535</v>
      </c>
      <c r="C32" s="8">
        <v>1</v>
      </c>
      <c r="D32" s="8">
        <v>0</v>
      </c>
      <c r="E32" s="8">
        <v>0</v>
      </c>
      <c r="F32" s="8">
        <v>1</v>
      </c>
      <c r="G32" s="8">
        <v>1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1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0</v>
      </c>
      <c r="V32" s="8">
        <v>9901</v>
      </c>
      <c r="W32" s="7">
        <f>IF(V32&lt;10500,1,0)</f>
        <v>1</v>
      </c>
    </row>
    <row r="33" s="6" customFormat="1" hidden="1" spans="1:23">
      <c r="A33" s="6" t="s">
        <v>22</v>
      </c>
      <c r="B33" s="6">
        <v>-280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1</v>
      </c>
      <c r="R33" s="8">
        <v>0</v>
      </c>
      <c r="S33" s="8">
        <v>1</v>
      </c>
      <c r="T33" s="8">
        <v>1</v>
      </c>
      <c r="U33" s="8">
        <v>1</v>
      </c>
      <c r="V33" s="8">
        <v>11401</v>
      </c>
      <c r="W33" s="7"/>
    </row>
    <row r="34" s="6" customFormat="1" spans="1:2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="6" customFormat="1" spans="1:2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="6" customFormat="1" spans="1:2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tabSelected="1" workbookViewId="0">
      <selection activeCell="D5" sqref="D5"/>
    </sheetView>
  </sheetViews>
  <sheetFormatPr defaultColWidth="9" defaultRowHeight="13.5" outlineLevelRow="3" outlineLevelCol="3"/>
  <cols>
    <col min="1" max="3" width="9" style="1"/>
    <col min="4" max="4" width="9.375" style="1"/>
    <col min="5" max="16384" width="9" style="1"/>
  </cols>
  <sheetData>
    <row r="1" s="1" customFormat="1" spans="2:4">
      <c r="B1" s="2"/>
      <c r="C1" s="2" t="s">
        <v>67</v>
      </c>
      <c r="D1" s="2" t="s">
        <v>68</v>
      </c>
    </row>
    <row r="2" s="1" customFormat="1" spans="2:4">
      <c r="B2" s="3" t="s">
        <v>69</v>
      </c>
      <c r="C2" s="4">
        <v>0</v>
      </c>
      <c r="D2" s="2">
        <v>-325</v>
      </c>
    </row>
    <row r="3" s="1" customFormat="1" spans="2:4">
      <c r="B3" s="3" t="s">
        <v>70</v>
      </c>
      <c r="C3" s="4">
        <v>0.02</v>
      </c>
      <c r="D3" s="2">
        <v>-175</v>
      </c>
    </row>
    <row r="4" s="1" customFormat="1" spans="2:4">
      <c r="B4" s="3" t="s">
        <v>71</v>
      </c>
      <c r="C4" s="4">
        <v>0.13</v>
      </c>
      <c r="D4" s="2">
        <v>-100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记录备注</vt:lpstr>
      <vt:lpstr>额外阳光消耗</vt:lpstr>
      <vt:lpstr>模型参数</vt:lpstr>
      <vt:lpstr>折线对比</vt:lpstr>
      <vt:lpstr>截图</vt:lpstr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2026-02-22T06:39:35Z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