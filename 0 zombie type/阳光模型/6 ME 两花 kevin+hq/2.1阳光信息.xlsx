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50" windowHeight="13380" activeTab="3"/>
  </bookViews>
  <sheets>
    <sheet name="汇总" sheetId="4" r:id="rId1"/>
    <sheet name="额外阳光消耗" sheetId="6" r:id="rId2"/>
    <sheet name="模型参数" sheetId="5" r:id="rId3"/>
    <sheet name="折线对比" sheetId="7" r:id="rId4"/>
    <sheet name="阳光" sheetId="10" r:id="rId5"/>
  </sheets>
  <calcPr calcId="144525"/>
</workbook>
</file>

<file path=xl/sharedStrings.xml><?xml version="1.0" encoding="utf-8"?>
<sst xmlns="http://schemas.openxmlformats.org/spreadsheetml/2006/main" count="110" uniqueCount="56">
  <si>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</si>
  <si>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</si>
  <si>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</si>
  <si>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</si>
  <si>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</si>
  <si>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</si>
  <si>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</si>
  <si>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</si>
  <si>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</si>
  <si>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</si>
  <si>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</si>
  <si>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</si>
  <si>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</si>
  <si>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</si>
  <si>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</si>
  <si>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</si>
  <si>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</si>
  <si>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</si>
  <si>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</si>
  <si>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</si>
  <si>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</si>
  <si>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</si>
  <si>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</si>
  <si>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</si>
  <si>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</si>
  <si>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</si>
  <si>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</si>
  <si>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</si>
  <si>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</si>
  <si>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</si>
  <si>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</si>
  <si>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</si>
  <si>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</si>
  <si>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</si>
  <si>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</si>
  <si>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</si>
  <si>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</si>
  <si>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</si>
  <si>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</si>
  <si>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</si>
  <si>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</si>
  <si>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</si>
  <si>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</si>
  <si>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</si>
  <si>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</si>
  <si>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</si>
  <si>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2050f</t>
  </si>
  <si>
    <t>个数</t>
  </si>
  <si>
    <t>均摊阳光</t>
  </si>
  <si>
    <t>曾损</t>
  </si>
  <si>
    <t>南瓜</t>
  </si>
  <si>
    <t>瓜损</t>
  </si>
  <si>
    <t>总共</t>
  </si>
  <si>
    <t>const</t>
  </si>
  <si>
    <t>dlt</t>
  </si>
  <si>
    <t>pred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</si>
</sst>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0.5"/>
      <color theme="1"/>
      <name val="Segoe UI"/>
      <charset val="134"/>
    </font>
    <font>
      <sz val="10.5"/>
      <color theme="1"/>
      <name val="宋体"/>
      <charset val="134"/>
    </font>
    <font>
      <sz val="10.5"/>
      <color theme="1"/>
      <name val="Segoe UI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6" applyNumberFormat="0" applyAlignment="0" applyProtection="0">
      <alignment vertical="center"/>
    </xf>
    <xf numFmtId="0" fontId="18" fillId="11" borderId="2" applyNumberFormat="0" applyAlignment="0" applyProtection="0">
      <alignment vertical="center"/>
    </xf>
    <xf numFmtId="0" fontId="19" fillId="12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176" fontId="0" fillId="0" borderId="0" xfId="0" applyNumberFormat="1">
      <alignment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折线对比!$C$2:$C$27</c:f>
              <c:numCache>
                <c:formatCode>General</c:formatCode>
                <c:ptCount val="26"/>
                <c:pt idx="0">
                  <c:v>4000</c:v>
                </c:pt>
                <c:pt idx="1">
                  <c:v>3483.37</c:v>
                </c:pt>
                <c:pt idx="2">
                  <c:v>3316.74</c:v>
                </c:pt>
                <c:pt idx="3">
                  <c:v>3950.11</c:v>
                </c:pt>
                <c:pt idx="4">
                  <c:v>3983.48</c:v>
                </c:pt>
                <c:pt idx="5">
                  <c:v>4466.85</c:v>
                </c:pt>
                <c:pt idx="6">
                  <c:v>5225.22</c:v>
                </c:pt>
                <c:pt idx="7">
                  <c:v>6058.59</c:v>
                </c:pt>
                <c:pt idx="8">
                  <c:v>5241.96</c:v>
                </c:pt>
                <c:pt idx="9">
                  <c:v>7075.33</c:v>
                </c:pt>
                <c:pt idx="10">
                  <c:v>6433.7</c:v>
                </c:pt>
                <c:pt idx="11">
                  <c:v>6267.07</c:v>
                </c:pt>
                <c:pt idx="12">
                  <c:v>7550.44</c:v>
                </c:pt>
                <c:pt idx="13">
                  <c:v>6658.81</c:v>
                </c:pt>
                <c:pt idx="14">
                  <c:v>6417.18</c:v>
                </c:pt>
                <c:pt idx="15">
                  <c:v>7150.55</c:v>
                </c:pt>
                <c:pt idx="16">
                  <c:v>8608.92</c:v>
                </c:pt>
                <c:pt idx="17">
                  <c:v>8917.29</c:v>
                </c:pt>
                <c:pt idx="18">
                  <c:v>7975.66</c:v>
                </c:pt>
                <c:pt idx="19">
                  <c:v>7234.03</c:v>
                </c:pt>
                <c:pt idx="20">
                  <c:v>6042.4</c:v>
                </c:pt>
                <c:pt idx="21">
                  <c:v>5450.77</c:v>
                </c:pt>
                <c:pt idx="22">
                  <c:v>4934.14</c:v>
                </c:pt>
                <c:pt idx="23">
                  <c:v>4317.51</c:v>
                </c:pt>
                <c:pt idx="24">
                  <c:v>3850.88</c:v>
                </c:pt>
                <c:pt idx="25">
                  <c:v>3184.25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折线对比!$D$2:$D$27</c:f>
              <c:numCache>
                <c:formatCode>General</c:formatCode>
                <c:ptCount val="26"/>
                <c:pt idx="0">
                  <c:v>4000</c:v>
                </c:pt>
                <c:pt idx="1">
                  <c:v>2776</c:v>
                </c:pt>
                <c:pt idx="2">
                  <c:v>2683</c:v>
                </c:pt>
                <c:pt idx="3">
                  <c:v>3228</c:v>
                </c:pt>
                <c:pt idx="4">
                  <c:v>3422</c:v>
                </c:pt>
                <c:pt idx="5">
                  <c:v>3968</c:v>
                </c:pt>
                <c:pt idx="6">
                  <c:v>4513</c:v>
                </c:pt>
                <c:pt idx="7">
                  <c:v>5286</c:v>
                </c:pt>
                <c:pt idx="8">
                  <c:v>4349</c:v>
                </c:pt>
                <c:pt idx="9">
                  <c:v>5717</c:v>
                </c:pt>
                <c:pt idx="10">
                  <c:v>5088</c:v>
                </c:pt>
                <c:pt idx="11">
                  <c:v>4974</c:v>
                </c:pt>
                <c:pt idx="12">
                  <c:v>6056</c:v>
                </c:pt>
                <c:pt idx="13">
                  <c:v>5119</c:v>
                </c:pt>
                <c:pt idx="14">
                  <c:v>5069</c:v>
                </c:pt>
                <c:pt idx="15">
                  <c:v>6150</c:v>
                </c:pt>
                <c:pt idx="16">
                  <c:v>7232</c:v>
                </c:pt>
                <c:pt idx="17">
                  <c:v>7777</c:v>
                </c:pt>
                <c:pt idx="18">
                  <c:v>7148</c:v>
                </c:pt>
                <c:pt idx="19">
                  <c:v>6232</c:v>
                </c:pt>
                <c:pt idx="20">
                  <c:v>5315</c:v>
                </c:pt>
                <c:pt idx="21">
                  <c:v>4378</c:v>
                </c:pt>
                <c:pt idx="22">
                  <c:v>4264</c:v>
                </c:pt>
                <c:pt idx="23">
                  <c:v>4214</c:v>
                </c:pt>
                <c:pt idx="24">
                  <c:v>3813</c:v>
                </c:pt>
                <c:pt idx="25">
                  <c:v>3184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  <c:max val="9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596265</xdr:colOff>
      <xdr:row>1</xdr:row>
      <xdr:rowOff>142240</xdr:rowOff>
    </xdr:from>
    <xdr:to>
      <xdr:col>14</xdr:col>
      <xdr:colOff>666750</xdr:colOff>
      <xdr:row>19</xdr:row>
      <xdr:rowOff>153035</xdr:rowOff>
    </xdr:to>
    <xdr:graphicFrame>
      <xdr:nvGraphicFramePr>
        <xdr:cNvPr id="4" name="图表 3"/>
        <xdr:cNvGraphicFramePr/>
      </xdr:nvGraphicFramePr>
      <xdr:xfrm>
        <a:off x="4262120" y="313690"/>
        <a:ext cx="6242685" cy="3096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6"/>
  <sheetViews>
    <sheetView zoomScale="120" zoomScaleNormal="120" workbookViewId="0">
      <selection activeCell="A2" sqref="A2:B26"/>
    </sheetView>
  </sheetViews>
  <sheetFormatPr defaultColWidth="9" defaultRowHeight="13.5"/>
  <cols>
    <col min="1" max="1" width="9" style="1"/>
    <col min="2" max="2" width="13.75" style="1"/>
    <col min="3" max="16384" width="9" style="1"/>
  </cols>
  <sheetData>
    <row r="1" spans="1:22">
      <c r="A1" s="2" t="s">
        <v>0</v>
      </c>
      <c r="B1" s="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9" t="s">
        <v>21</v>
      </c>
    </row>
    <row r="2" spans="1:22">
      <c r="A2" s="2" t="s">
        <v>22</v>
      </c>
      <c r="B2" s="2">
        <v>-425</v>
      </c>
      <c r="C2" s="9">
        <v>1</v>
      </c>
      <c r="D2" s="9">
        <v>0</v>
      </c>
      <c r="E2" s="9">
        <v>0</v>
      </c>
      <c r="F2" s="9">
        <v>1</v>
      </c>
      <c r="G2" s="9">
        <v>1</v>
      </c>
      <c r="H2" s="9">
        <v>1</v>
      </c>
      <c r="I2" s="9">
        <v>0</v>
      </c>
      <c r="J2" s="9">
        <v>0</v>
      </c>
      <c r="K2" s="9">
        <v>0</v>
      </c>
      <c r="L2" s="9">
        <v>0</v>
      </c>
      <c r="M2" s="9">
        <v>1</v>
      </c>
      <c r="N2" s="9">
        <v>1</v>
      </c>
      <c r="O2" s="9">
        <v>0</v>
      </c>
      <c r="P2" s="9">
        <v>1</v>
      </c>
      <c r="Q2" s="9">
        <v>0</v>
      </c>
      <c r="R2" s="9">
        <v>0</v>
      </c>
      <c r="S2" s="9">
        <v>0</v>
      </c>
      <c r="T2" s="9">
        <v>1</v>
      </c>
      <c r="U2" s="9">
        <v>1</v>
      </c>
      <c r="V2" s="9">
        <v>14401</v>
      </c>
    </row>
    <row r="3" spans="1:22">
      <c r="A3" s="2" t="s">
        <v>23</v>
      </c>
      <c r="B3" s="2">
        <v>-75</v>
      </c>
      <c r="C3" s="9">
        <v>1</v>
      </c>
      <c r="D3" s="9">
        <v>0</v>
      </c>
      <c r="E3" s="9">
        <v>0</v>
      </c>
      <c r="F3" s="9">
        <v>1</v>
      </c>
      <c r="G3" s="9">
        <v>1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1</v>
      </c>
      <c r="N3" s="9">
        <v>0</v>
      </c>
      <c r="O3" s="9">
        <v>0</v>
      </c>
      <c r="P3" s="9">
        <v>1</v>
      </c>
      <c r="Q3" s="9">
        <v>1</v>
      </c>
      <c r="R3" s="9">
        <v>0</v>
      </c>
      <c r="S3" s="9">
        <v>1</v>
      </c>
      <c r="T3" s="9">
        <v>1</v>
      </c>
      <c r="U3" s="9">
        <v>1</v>
      </c>
      <c r="V3" s="9">
        <v>11901</v>
      </c>
    </row>
    <row r="4" spans="1:22">
      <c r="A4" s="2" t="s">
        <v>24</v>
      </c>
      <c r="B4" s="2">
        <v>725</v>
      </c>
      <c r="C4" s="9">
        <v>1</v>
      </c>
      <c r="D4" s="9">
        <v>1</v>
      </c>
      <c r="E4" s="9">
        <v>1</v>
      </c>
      <c r="F4" s="9">
        <v>1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1</v>
      </c>
      <c r="N4" s="9">
        <v>1</v>
      </c>
      <c r="O4" s="9">
        <v>0</v>
      </c>
      <c r="P4" s="9">
        <v>0</v>
      </c>
      <c r="Q4" s="9">
        <v>0</v>
      </c>
      <c r="R4" s="9">
        <v>1</v>
      </c>
      <c r="S4" s="9">
        <v>1</v>
      </c>
      <c r="T4" s="9">
        <v>0</v>
      </c>
      <c r="U4" s="9">
        <v>0</v>
      </c>
      <c r="V4" s="9">
        <v>12901</v>
      </c>
    </row>
    <row r="5" spans="1:22">
      <c r="A5" s="2" t="s">
        <v>25</v>
      </c>
      <c r="B5" s="2">
        <v>125</v>
      </c>
      <c r="C5" s="9">
        <v>1</v>
      </c>
      <c r="D5" s="9">
        <v>1</v>
      </c>
      <c r="E5" s="9">
        <v>1</v>
      </c>
      <c r="F5" s="9">
        <v>0</v>
      </c>
      <c r="G5" s="9">
        <v>1</v>
      </c>
      <c r="H5" s="9">
        <v>0</v>
      </c>
      <c r="I5" s="9">
        <v>0</v>
      </c>
      <c r="J5" s="9">
        <v>0</v>
      </c>
      <c r="K5" s="9">
        <v>1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1</v>
      </c>
      <c r="R5" s="9">
        <v>1</v>
      </c>
      <c r="S5" s="9">
        <v>1</v>
      </c>
      <c r="T5" s="9">
        <v>0</v>
      </c>
      <c r="U5" s="9">
        <v>1</v>
      </c>
      <c r="V5" s="9">
        <v>15401</v>
      </c>
    </row>
    <row r="6" spans="1:22">
      <c r="A6" s="2" t="s">
        <v>26</v>
      </c>
      <c r="B6" s="2">
        <v>575</v>
      </c>
      <c r="C6" s="9">
        <v>0</v>
      </c>
      <c r="D6" s="9">
        <v>1</v>
      </c>
      <c r="E6" s="9">
        <v>1</v>
      </c>
      <c r="F6" s="9">
        <v>1</v>
      </c>
      <c r="G6" s="9">
        <v>1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1</v>
      </c>
      <c r="N6" s="9">
        <v>1</v>
      </c>
      <c r="O6" s="9">
        <v>0</v>
      </c>
      <c r="P6" s="9">
        <v>1</v>
      </c>
      <c r="Q6" s="9">
        <v>0</v>
      </c>
      <c r="R6" s="9">
        <v>0</v>
      </c>
      <c r="S6" s="9">
        <v>1</v>
      </c>
      <c r="T6" s="9">
        <v>0</v>
      </c>
      <c r="U6" s="9">
        <v>0</v>
      </c>
      <c r="V6" s="9">
        <v>15401</v>
      </c>
    </row>
    <row r="7" spans="1:22">
      <c r="A7" s="2" t="s">
        <v>27</v>
      </c>
      <c r="B7" s="2">
        <v>850</v>
      </c>
      <c r="C7" s="9">
        <v>1</v>
      </c>
      <c r="D7" s="9">
        <v>1</v>
      </c>
      <c r="E7" s="9">
        <v>1</v>
      </c>
      <c r="F7" s="9">
        <v>0</v>
      </c>
      <c r="G7" s="9">
        <v>1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</v>
      </c>
      <c r="O7" s="9">
        <v>0</v>
      </c>
      <c r="P7" s="9">
        <v>0</v>
      </c>
      <c r="Q7" s="9">
        <v>1</v>
      </c>
      <c r="R7" s="9">
        <v>1</v>
      </c>
      <c r="S7" s="9">
        <v>1</v>
      </c>
      <c r="T7" s="9">
        <v>0</v>
      </c>
      <c r="U7" s="9">
        <v>0</v>
      </c>
      <c r="V7" s="9">
        <v>14401</v>
      </c>
    </row>
    <row r="8" spans="1:22">
      <c r="A8" s="2" t="s">
        <v>28</v>
      </c>
      <c r="B8" s="2">
        <v>925</v>
      </c>
      <c r="C8" s="9">
        <v>1</v>
      </c>
      <c r="D8" s="9">
        <v>0</v>
      </c>
      <c r="E8" s="9">
        <v>1</v>
      </c>
      <c r="F8" s="9">
        <v>0</v>
      </c>
      <c r="G8" s="9">
        <v>1</v>
      </c>
      <c r="H8" s="9">
        <v>1</v>
      </c>
      <c r="I8" s="9">
        <v>0</v>
      </c>
      <c r="J8" s="9">
        <v>0</v>
      </c>
      <c r="K8" s="9">
        <v>1</v>
      </c>
      <c r="L8" s="9">
        <v>0</v>
      </c>
      <c r="M8" s="9">
        <v>0</v>
      </c>
      <c r="N8" s="9">
        <v>0</v>
      </c>
      <c r="O8" s="9">
        <v>0</v>
      </c>
      <c r="P8" s="9">
        <v>1</v>
      </c>
      <c r="Q8" s="9">
        <v>1</v>
      </c>
      <c r="R8" s="9">
        <v>1</v>
      </c>
      <c r="S8" s="9">
        <v>0</v>
      </c>
      <c r="T8" s="9">
        <v>1</v>
      </c>
      <c r="U8" s="9">
        <v>0</v>
      </c>
      <c r="V8" s="9">
        <v>15401</v>
      </c>
    </row>
    <row r="9" spans="1:22">
      <c r="A9" s="2" t="s">
        <v>29</v>
      </c>
      <c r="B9" s="2">
        <v>-725</v>
      </c>
      <c r="C9" s="9">
        <v>1</v>
      </c>
      <c r="D9" s="9">
        <v>1</v>
      </c>
      <c r="E9" s="9">
        <v>1</v>
      </c>
      <c r="F9" s="9">
        <v>1</v>
      </c>
      <c r="G9" s="9">
        <v>0</v>
      </c>
      <c r="H9" s="9">
        <v>1</v>
      </c>
      <c r="I9" s="9">
        <v>0</v>
      </c>
      <c r="J9" s="9">
        <v>0</v>
      </c>
      <c r="K9" s="9">
        <v>1</v>
      </c>
      <c r="L9" s="9">
        <v>0</v>
      </c>
      <c r="M9" s="9">
        <v>1</v>
      </c>
      <c r="N9" s="9">
        <v>1</v>
      </c>
      <c r="O9" s="9">
        <v>0</v>
      </c>
      <c r="P9" s="9">
        <v>0</v>
      </c>
      <c r="Q9" s="9">
        <v>0</v>
      </c>
      <c r="R9" s="9">
        <v>0</v>
      </c>
      <c r="S9" s="9">
        <v>1</v>
      </c>
      <c r="T9" s="9">
        <v>0</v>
      </c>
      <c r="U9" s="9">
        <v>1</v>
      </c>
      <c r="V9" s="9">
        <v>16901</v>
      </c>
    </row>
    <row r="10" spans="1:22">
      <c r="A10" s="2" t="s">
        <v>30</v>
      </c>
      <c r="B10" s="2">
        <v>1925</v>
      </c>
      <c r="C10" s="9">
        <v>1</v>
      </c>
      <c r="D10" s="9">
        <v>0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1</v>
      </c>
      <c r="N10" s="9">
        <v>0</v>
      </c>
      <c r="O10" s="9">
        <v>0</v>
      </c>
      <c r="P10" s="9">
        <v>0</v>
      </c>
      <c r="Q10" s="9">
        <v>1</v>
      </c>
      <c r="R10" s="9">
        <v>1</v>
      </c>
      <c r="S10" s="9">
        <v>1</v>
      </c>
      <c r="T10" s="9">
        <v>0</v>
      </c>
      <c r="U10" s="9">
        <v>0</v>
      </c>
      <c r="V10" s="9">
        <v>10901</v>
      </c>
    </row>
    <row r="11" spans="1:22">
      <c r="A11" s="2" t="s">
        <v>31</v>
      </c>
      <c r="B11" s="2">
        <v>-550</v>
      </c>
      <c r="C11" s="9">
        <v>1</v>
      </c>
      <c r="D11" s="9">
        <v>1</v>
      </c>
      <c r="E11" s="9">
        <v>0</v>
      </c>
      <c r="F11" s="9">
        <v>0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1</v>
      </c>
      <c r="N11" s="9">
        <v>1</v>
      </c>
      <c r="O11" s="9">
        <v>0</v>
      </c>
      <c r="P11" s="9">
        <v>1</v>
      </c>
      <c r="Q11" s="9">
        <v>1</v>
      </c>
      <c r="R11" s="9">
        <v>1</v>
      </c>
      <c r="S11" s="9">
        <v>0</v>
      </c>
      <c r="T11" s="9">
        <v>0</v>
      </c>
      <c r="U11" s="9">
        <v>1</v>
      </c>
      <c r="V11" s="9">
        <v>12901</v>
      </c>
    </row>
    <row r="12" spans="1:22">
      <c r="A12" s="2" t="s">
        <v>32</v>
      </c>
      <c r="B12" s="2">
        <v>-75</v>
      </c>
      <c r="C12" s="9">
        <v>1</v>
      </c>
      <c r="D12" s="9">
        <v>1</v>
      </c>
      <c r="E12" s="9">
        <v>1</v>
      </c>
      <c r="F12" s="9">
        <v>1</v>
      </c>
      <c r="G12" s="9">
        <v>0</v>
      </c>
      <c r="H12" s="9">
        <v>1</v>
      </c>
      <c r="I12" s="9">
        <v>0</v>
      </c>
      <c r="J12" s="9">
        <v>0</v>
      </c>
      <c r="K12" s="9">
        <v>1</v>
      </c>
      <c r="L12" s="9">
        <v>0</v>
      </c>
      <c r="M12" s="9">
        <v>1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1</v>
      </c>
      <c r="V12" s="9">
        <v>13401</v>
      </c>
    </row>
    <row r="13" spans="1:22">
      <c r="A13" s="2" t="s">
        <v>33</v>
      </c>
      <c r="B13" s="2">
        <v>1375</v>
      </c>
      <c r="C13" s="9">
        <v>1</v>
      </c>
      <c r="D13" s="9">
        <v>0</v>
      </c>
      <c r="E13" s="9">
        <v>1</v>
      </c>
      <c r="F13" s="9">
        <v>1</v>
      </c>
      <c r="G13" s="9">
        <v>1</v>
      </c>
      <c r="H13" s="9">
        <v>0</v>
      </c>
      <c r="I13" s="9">
        <v>0</v>
      </c>
      <c r="J13" s="9">
        <v>0</v>
      </c>
      <c r="K13" s="9">
        <v>1</v>
      </c>
      <c r="L13" s="9">
        <v>0</v>
      </c>
      <c r="M13" s="9">
        <v>0</v>
      </c>
      <c r="N13" s="9">
        <v>0</v>
      </c>
      <c r="O13" s="9">
        <v>0</v>
      </c>
      <c r="P13" s="9">
        <v>1</v>
      </c>
      <c r="Q13" s="9">
        <v>1</v>
      </c>
      <c r="R13" s="9">
        <v>1</v>
      </c>
      <c r="S13" s="9">
        <v>1</v>
      </c>
      <c r="T13" s="9">
        <v>1</v>
      </c>
      <c r="U13" s="9">
        <v>0</v>
      </c>
      <c r="V13" s="9">
        <v>15901</v>
      </c>
    </row>
    <row r="14" spans="1:22">
      <c r="A14" s="2" t="s">
        <v>34</v>
      </c>
      <c r="B14" s="2">
        <v>-800</v>
      </c>
      <c r="C14" s="9">
        <v>1</v>
      </c>
      <c r="D14" s="9">
        <v>1</v>
      </c>
      <c r="E14" s="9">
        <v>1</v>
      </c>
      <c r="F14" s="9">
        <v>1</v>
      </c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1</v>
      </c>
      <c r="O14" s="9">
        <v>0</v>
      </c>
      <c r="P14" s="9">
        <v>1</v>
      </c>
      <c r="Q14" s="9">
        <v>1</v>
      </c>
      <c r="R14" s="9">
        <v>0</v>
      </c>
      <c r="S14" s="9">
        <v>1</v>
      </c>
      <c r="T14" s="9">
        <v>0</v>
      </c>
      <c r="U14" s="9">
        <v>1</v>
      </c>
      <c r="V14" s="9">
        <v>14901</v>
      </c>
    </row>
    <row r="15" spans="1:22">
      <c r="A15" s="2" t="s">
        <v>35</v>
      </c>
      <c r="B15" s="2">
        <v>-150</v>
      </c>
      <c r="C15" s="9">
        <v>1</v>
      </c>
      <c r="D15" s="9">
        <v>0</v>
      </c>
      <c r="E15" s="9">
        <v>1</v>
      </c>
      <c r="F15" s="9">
        <v>0</v>
      </c>
      <c r="G15" s="9">
        <v>1</v>
      </c>
      <c r="H15" s="9">
        <v>1</v>
      </c>
      <c r="I15" s="9">
        <v>0</v>
      </c>
      <c r="J15" s="9">
        <v>0</v>
      </c>
      <c r="K15" s="9">
        <v>1</v>
      </c>
      <c r="L15" s="9">
        <v>0</v>
      </c>
      <c r="M15" s="9">
        <v>0</v>
      </c>
      <c r="N15" s="9">
        <v>1</v>
      </c>
      <c r="O15" s="9">
        <v>0</v>
      </c>
      <c r="P15" s="9">
        <v>0</v>
      </c>
      <c r="Q15" s="9">
        <v>0</v>
      </c>
      <c r="R15" s="9">
        <v>1</v>
      </c>
      <c r="S15" s="9">
        <v>1</v>
      </c>
      <c r="T15" s="9">
        <v>1</v>
      </c>
      <c r="U15" s="9">
        <v>0</v>
      </c>
      <c r="V15" s="9">
        <v>17901</v>
      </c>
    </row>
    <row r="16" spans="1:22">
      <c r="A16" s="2" t="s">
        <v>36</v>
      </c>
      <c r="B16" s="2">
        <v>825</v>
      </c>
      <c r="C16" s="9">
        <v>1</v>
      </c>
      <c r="D16" s="9">
        <v>1</v>
      </c>
      <c r="E16" s="9">
        <v>0</v>
      </c>
      <c r="F16" s="9">
        <v>1</v>
      </c>
      <c r="G16" s="9">
        <v>1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1</v>
      </c>
      <c r="N16" s="9">
        <v>0</v>
      </c>
      <c r="O16" s="9">
        <v>0</v>
      </c>
      <c r="P16" s="9">
        <v>1</v>
      </c>
      <c r="Q16" s="9">
        <v>0</v>
      </c>
      <c r="R16" s="9">
        <v>1</v>
      </c>
      <c r="S16" s="9">
        <v>0</v>
      </c>
      <c r="T16" s="9">
        <v>1</v>
      </c>
      <c r="U16" s="9">
        <v>0</v>
      </c>
      <c r="V16" s="9">
        <v>14401</v>
      </c>
    </row>
    <row r="17" spans="1:22">
      <c r="A17" s="2" t="s">
        <v>37</v>
      </c>
      <c r="B17" s="2">
        <v>1550</v>
      </c>
      <c r="C17" s="9">
        <v>1</v>
      </c>
      <c r="D17" s="9">
        <v>0</v>
      </c>
      <c r="E17" s="9">
        <v>1</v>
      </c>
      <c r="F17" s="9">
        <v>1</v>
      </c>
      <c r="G17" s="9">
        <v>1</v>
      </c>
      <c r="H17" s="9">
        <v>0</v>
      </c>
      <c r="I17" s="9">
        <v>0</v>
      </c>
      <c r="J17" s="9">
        <v>0</v>
      </c>
      <c r="K17" s="9">
        <v>1</v>
      </c>
      <c r="L17" s="9">
        <v>0</v>
      </c>
      <c r="M17" s="9">
        <v>1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1</v>
      </c>
      <c r="U17" s="9">
        <v>0</v>
      </c>
      <c r="V17" s="9">
        <v>14401</v>
      </c>
    </row>
    <row r="18" spans="1:22">
      <c r="A18" s="2" t="s">
        <v>38</v>
      </c>
      <c r="B18" s="2">
        <v>400</v>
      </c>
      <c r="C18" s="9">
        <v>1</v>
      </c>
      <c r="D18" s="9">
        <v>1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1</v>
      </c>
      <c r="N18" s="9">
        <v>1</v>
      </c>
      <c r="O18" s="9">
        <v>0</v>
      </c>
      <c r="P18" s="9">
        <v>1</v>
      </c>
      <c r="Q18" s="9">
        <v>1</v>
      </c>
      <c r="R18" s="9">
        <v>1</v>
      </c>
      <c r="S18" s="9">
        <v>0</v>
      </c>
      <c r="T18" s="9">
        <v>0</v>
      </c>
      <c r="U18" s="9">
        <v>0</v>
      </c>
      <c r="V18" s="9">
        <v>12401</v>
      </c>
    </row>
    <row r="19" spans="1:22">
      <c r="A19" s="2" t="s">
        <v>39</v>
      </c>
      <c r="B19" s="2">
        <v>-850</v>
      </c>
      <c r="C19" s="9">
        <v>1</v>
      </c>
      <c r="D19" s="9">
        <v>0</v>
      </c>
      <c r="E19" s="9">
        <v>1</v>
      </c>
      <c r="F19" s="9">
        <v>0</v>
      </c>
      <c r="G19" s="9">
        <v>1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1</v>
      </c>
      <c r="N19" s="9">
        <v>1</v>
      </c>
      <c r="O19" s="9">
        <v>0</v>
      </c>
      <c r="P19" s="9">
        <v>1</v>
      </c>
      <c r="Q19" s="9">
        <v>1</v>
      </c>
      <c r="R19" s="9">
        <v>0</v>
      </c>
      <c r="S19" s="9">
        <v>0</v>
      </c>
      <c r="T19" s="9">
        <v>0</v>
      </c>
      <c r="U19" s="9">
        <v>1</v>
      </c>
      <c r="V19" s="9">
        <v>14901</v>
      </c>
    </row>
    <row r="20" spans="1:22">
      <c r="A20" s="2" t="s">
        <v>40</v>
      </c>
      <c r="B20" s="2">
        <v>-650</v>
      </c>
      <c r="C20" s="9">
        <v>0</v>
      </c>
      <c r="D20" s="9">
        <v>1</v>
      </c>
      <c r="E20" s="9">
        <v>0</v>
      </c>
      <c r="F20" s="9">
        <v>1</v>
      </c>
      <c r="G20" s="9">
        <v>0</v>
      </c>
      <c r="H20" s="9">
        <v>0</v>
      </c>
      <c r="I20" s="9">
        <v>0</v>
      </c>
      <c r="J20" s="9">
        <v>0</v>
      </c>
      <c r="K20" s="9">
        <v>1</v>
      </c>
      <c r="L20" s="9">
        <v>0</v>
      </c>
      <c r="M20" s="9">
        <v>0</v>
      </c>
      <c r="N20" s="9">
        <v>1</v>
      </c>
      <c r="O20" s="9">
        <v>0</v>
      </c>
      <c r="P20" s="9">
        <v>0</v>
      </c>
      <c r="Q20" s="9">
        <v>0</v>
      </c>
      <c r="R20" s="9">
        <v>1</v>
      </c>
      <c r="S20" s="9">
        <v>1</v>
      </c>
      <c r="T20" s="9">
        <v>1</v>
      </c>
      <c r="U20" s="9">
        <v>1</v>
      </c>
      <c r="V20" s="9">
        <v>12401</v>
      </c>
    </row>
    <row r="21" spans="1:22">
      <c r="A21" s="2" t="s">
        <v>41</v>
      </c>
      <c r="B21" s="2">
        <v>-1100</v>
      </c>
      <c r="C21" s="9">
        <v>1</v>
      </c>
      <c r="D21" s="9">
        <v>0</v>
      </c>
      <c r="E21" s="9">
        <v>1</v>
      </c>
      <c r="F21" s="9">
        <v>0</v>
      </c>
      <c r="G21" s="9">
        <v>1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1</v>
      </c>
      <c r="O21" s="9">
        <v>0</v>
      </c>
      <c r="P21" s="9">
        <v>0</v>
      </c>
      <c r="Q21" s="9">
        <v>1</v>
      </c>
      <c r="R21" s="9">
        <v>1</v>
      </c>
      <c r="S21" s="9">
        <v>1</v>
      </c>
      <c r="T21" s="9">
        <v>1</v>
      </c>
      <c r="U21" s="9">
        <v>1</v>
      </c>
      <c r="V21" s="9">
        <v>14901</v>
      </c>
    </row>
    <row r="22" spans="1:22">
      <c r="A22" s="2" t="s">
        <v>42</v>
      </c>
      <c r="B22" s="2">
        <v>-500</v>
      </c>
      <c r="C22" s="9">
        <v>1</v>
      </c>
      <c r="D22" s="9">
        <v>1</v>
      </c>
      <c r="E22" s="9">
        <v>0</v>
      </c>
      <c r="F22" s="9">
        <v>1</v>
      </c>
      <c r="G22" s="9">
        <v>1</v>
      </c>
      <c r="H22" s="9">
        <v>1</v>
      </c>
      <c r="I22" s="9">
        <v>0</v>
      </c>
      <c r="J22" s="9">
        <v>0</v>
      </c>
      <c r="K22" s="9">
        <v>1</v>
      </c>
      <c r="L22" s="9">
        <v>0</v>
      </c>
      <c r="M22" s="9">
        <v>0</v>
      </c>
      <c r="N22" s="9">
        <v>1</v>
      </c>
      <c r="O22" s="9">
        <v>0</v>
      </c>
      <c r="P22" s="9">
        <v>0</v>
      </c>
      <c r="Q22" s="9">
        <v>0</v>
      </c>
      <c r="R22" s="9">
        <v>0</v>
      </c>
      <c r="S22" s="9">
        <v>1</v>
      </c>
      <c r="T22" s="9">
        <v>0</v>
      </c>
      <c r="U22" s="9">
        <v>1</v>
      </c>
      <c r="V22" s="9">
        <v>16401</v>
      </c>
    </row>
    <row r="23" spans="1:22">
      <c r="A23" s="2" t="s">
        <v>43</v>
      </c>
      <c r="B23" s="2">
        <v>-425</v>
      </c>
      <c r="C23" s="9">
        <v>1</v>
      </c>
      <c r="D23" s="9">
        <v>1</v>
      </c>
      <c r="E23" s="9">
        <v>1</v>
      </c>
      <c r="F23" s="9">
        <v>1</v>
      </c>
      <c r="G23" s="9">
        <v>0</v>
      </c>
      <c r="H23" s="9">
        <v>1</v>
      </c>
      <c r="I23" s="9">
        <v>0</v>
      </c>
      <c r="J23" s="9">
        <v>0</v>
      </c>
      <c r="K23" s="9">
        <v>1</v>
      </c>
      <c r="L23" s="9">
        <v>0</v>
      </c>
      <c r="M23" s="9">
        <v>1</v>
      </c>
      <c r="N23" s="9">
        <v>0</v>
      </c>
      <c r="O23" s="9">
        <v>0</v>
      </c>
      <c r="P23" s="9">
        <v>0</v>
      </c>
      <c r="Q23" s="9">
        <v>0</v>
      </c>
      <c r="R23" s="9">
        <v>1</v>
      </c>
      <c r="S23" s="9">
        <v>1</v>
      </c>
      <c r="T23" s="9">
        <v>0</v>
      </c>
      <c r="U23" s="9">
        <v>1</v>
      </c>
      <c r="V23" s="9">
        <v>15901</v>
      </c>
    </row>
    <row r="24" s="1" customFormat="1" spans="1:22">
      <c r="A24" s="2" t="s">
        <v>44</v>
      </c>
      <c r="B24" s="2">
        <v>-525</v>
      </c>
      <c r="C24" s="9">
        <v>1</v>
      </c>
      <c r="D24" s="9">
        <v>1</v>
      </c>
      <c r="E24" s="9">
        <v>0</v>
      </c>
      <c r="F24" s="9">
        <v>1</v>
      </c>
      <c r="G24" s="9">
        <v>0</v>
      </c>
      <c r="H24" s="9">
        <v>1</v>
      </c>
      <c r="I24" s="9">
        <v>0</v>
      </c>
      <c r="J24" s="9">
        <v>0</v>
      </c>
      <c r="K24" s="9">
        <v>1</v>
      </c>
      <c r="L24" s="9">
        <v>0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1</v>
      </c>
      <c r="S24" s="9">
        <v>1</v>
      </c>
      <c r="T24" s="9">
        <v>1</v>
      </c>
      <c r="U24" s="9">
        <v>0</v>
      </c>
      <c r="V24" s="9">
        <v>14401</v>
      </c>
    </row>
    <row r="25" spans="1:22">
      <c r="A25" s="2" t="s">
        <v>45</v>
      </c>
      <c r="B25" s="2">
        <v>-375</v>
      </c>
      <c r="C25" s="9">
        <v>1</v>
      </c>
      <c r="D25" s="9">
        <v>1</v>
      </c>
      <c r="E25" s="9">
        <v>0</v>
      </c>
      <c r="F25" s="9">
        <v>0</v>
      </c>
      <c r="G25" s="9">
        <v>1</v>
      </c>
      <c r="H25" s="9">
        <v>1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1</v>
      </c>
      <c r="Q25" s="9">
        <v>0</v>
      </c>
      <c r="R25" s="9">
        <v>1</v>
      </c>
      <c r="S25" s="9">
        <v>1</v>
      </c>
      <c r="T25" s="9">
        <v>1</v>
      </c>
      <c r="U25" s="9">
        <v>1</v>
      </c>
      <c r="V25" s="9">
        <v>14901</v>
      </c>
    </row>
    <row r="26" spans="1:22">
      <c r="A26" s="2" t="s">
        <v>46</v>
      </c>
      <c r="B26" s="2">
        <v>-575</v>
      </c>
      <c r="C26" s="9">
        <v>1</v>
      </c>
      <c r="D26" s="9">
        <v>0</v>
      </c>
      <c r="E26" s="9">
        <v>1</v>
      </c>
      <c r="F26" s="9">
        <v>1</v>
      </c>
      <c r="G26" s="9">
        <v>0</v>
      </c>
      <c r="H26" s="9">
        <v>0</v>
      </c>
      <c r="I26" s="9">
        <v>0</v>
      </c>
      <c r="J26" s="9">
        <v>0</v>
      </c>
      <c r="K26" s="9">
        <v>1</v>
      </c>
      <c r="L26" s="9">
        <v>0</v>
      </c>
      <c r="M26" s="9">
        <v>0</v>
      </c>
      <c r="N26" s="9">
        <v>1</v>
      </c>
      <c r="O26" s="9">
        <v>0</v>
      </c>
      <c r="P26" s="9">
        <v>1</v>
      </c>
      <c r="Q26" s="9">
        <v>0</v>
      </c>
      <c r="R26" s="9">
        <v>1</v>
      </c>
      <c r="S26" s="9">
        <v>0</v>
      </c>
      <c r="T26" s="9">
        <v>0</v>
      </c>
      <c r="U26" s="9">
        <v>1</v>
      </c>
      <c r="V26" s="9">
        <v>12401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6"/>
  <sheetViews>
    <sheetView zoomScale="130" zoomScaleNormal="130" workbookViewId="0">
      <selection activeCell="D3" sqref="D3"/>
    </sheetView>
  </sheetViews>
  <sheetFormatPr defaultColWidth="9" defaultRowHeight="13.5" outlineLevelRow="5" outlineLevelCol="3"/>
  <cols>
    <col min="1" max="16384" width="9" style="8"/>
  </cols>
  <sheetData>
    <row r="2" spans="3:4">
      <c r="C2" s="8" t="s">
        <v>47</v>
      </c>
      <c r="D2" s="8" t="s">
        <v>48</v>
      </c>
    </row>
    <row r="3" spans="2:4">
      <c r="B3" s="8" t="s">
        <v>49</v>
      </c>
      <c r="C3" s="8">
        <v>0.82278</v>
      </c>
      <c r="D3" s="8">
        <f>(5*50+150+75)*C3/25</f>
        <v>15.63282</v>
      </c>
    </row>
    <row r="4" spans="2:4">
      <c r="B4" s="8" t="s">
        <v>50</v>
      </c>
      <c r="C4" s="8">
        <v>6</v>
      </c>
      <c r="D4" s="8">
        <f>125*(C4)/25</f>
        <v>30</v>
      </c>
    </row>
    <row r="5" spans="2:4">
      <c r="B5" s="8" t="s">
        <v>51</v>
      </c>
      <c r="C5" s="8">
        <v>1</v>
      </c>
      <c r="D5" s="8">
        <f>(13*50+200+300)*C5/25</f>
        <v>46</v>
      </c>
    </row>
    <row r="6" spans="2:4">
      <c r="B6" s="8" t="s">
        <v>52</v>
      </c>
      <c r="D6" s="8">
        <f>SUM(D3:D5)</f>
        <v>91.63282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zoomScale="190" zoomScaleNormal="190" workbookViewId="0">
      <selection activeCell="E2" sqref="E2"/>
    </sheetView>
  </sheetViews>
  <sheetFormatPr defaultColWidth="9" defaultRowHeight="13.5" outlineLevelRow="6" outlineLevelCol="1"/>
  <cols>
    <col min="1" max="1" width="10.375" style="4"/>
    <col min="2" max="2" width="13.75" style="4"/>
    <col min="3" max="3" width="11.9083333333333" style="4" customWidth="1"/>
    <col min="4" max="4" width="10.375" style="4"/>
    <col min="5" max="6" width="9.375" style="4"/>
    <col min="7" max="7" width="11.5" style="4"/>
    <col min="8" max="16384" width="9" style="4"/>
  </cols>
  <sheetData>
    <row r="1" ht="15.75" spans="1:2">
      <c r="A1" s="5"/>
      <c r="B1" s="5">
        <v>0</v>
      </c>
    </row>
    <row r="2" ht="15.75" spans="1:2">
      <c r="A2" s="6" t="s">
        <v>53</v>
      </c>
      <c r="B2" s="7">
        <v>-1368.534612</v>
      </c>
    </row>
    <row r="3" ht="15.75" spans="1:2">
      <c r="A3" s="6" t="s">
        <v>7</v>
      </c>
      <c r="B3" s="7">
        <v>308.118443</v>
      </c>
    </row>
    <row r="4" ht="15.75" spans="1:2">
      <c r="A4" s="6" t="s">
        <v>13</v>
      </c>
      <c r="B4" s="7">
        <v>823.299127</v>
      </c>
    </row>
    <row r="5" ht="15.75" spans="1:2">
      <c r="A5" s="6" t="s">
        <v>19</v>
      </c>
      <c r="B5" s="7">
        <v>287.110106</v>
      </c>
    </row>
    <row r="6" ht="15.75" spans="1:2">
      <c r="A6" s="6" t="s">
        <v>20</v>
      </c>
      <c r="B6" s="7">
        <v>1174.302342</v>
      </c>
    </row>
    <row r="7" ht="15.75" spans="1:2">
      <c r="A7" s="6"/>
      <c r="B7" s="7">
        <f>B2+0.5625*SUM(B3:B6)</f>
        <v>89.9322731250002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workbookViewId="0">
      <selection activeCell="E6" sqref="E6"/>
    </sheetView>
  </sheetViews>
  <sheetFormatPr defaultColWidth="9" defaultRowHeight="13.5" outlineLevelCol="3"/>
  <cols>
    <col min="1" max="2" width="9" style="3"/>
    <col min="3" max="3" width="9.375" style="3"/>
    <col min="4" max="4" width="11.7333333333333" style="3" customWidth="1"/>
    <col min="5" max="16384" width="9" style="3"/>
  </cols>
  <sheetData>
    <row r="1" spans="2:4">
      <c r="B1" s="3" t="s">
        <v>54</v>
      </c>
      <c r="C1" s="3" t="b">
        <v>1</v>
      </c>
      <c r="D1" s="3" t="s">
        <v>55</v>
      </c>
    </row>
    <row r="2" spans="3:4">
      <c r="C2" s="3">
        <v>4000</v>
      </c>
      <c r="D2" s="3">
        <v>4000</v>
      </c>
    </row>
    <row r="3" spans="1:4">
      <c r="A3" s="2" t="s">
        <v>22</v>
      </c>
      <c r="B3" s="2">
        <v>-425</v>
      </c>
      <c r="C3" s="3">
        <f>C2+B3-91.63</f>
        <v>3483.37</v>
      </c>
      <c r="D3" s="3">
        <v>2776</v>
      </c>
    </row>
    <row r="4" spans="1:4">
      <c r="A4" s="2" t="s">
        <v>23</v>
      </c>
      <c r="B4" s="2">
        <v>-75</v>
      </c>
      <c r="C4" s="3">
        <f t="shared" ref="C4:C27" si="0">C3+B4-91.63</f>
        <v>3316.74</v>
      </c>
      <c r="D4" s="3">
        <v>2683</v>
      </c>
    </row>
    <row r="5" spans="1:4">
      <c r="A5" s="2" t="s">
        <v>24</v>
      </c>
      <c r="B5" s="2">
        <v>725</v>
      </c>
      <c r="C5" s="3">
        <f t="shared" si="0"/>
        <v>3950.11</v>
      </c>
      <c r="D5" s="3">
        <v>3228</v>
      </c>
    </row>
    <row r="6" spans="1:4">
      <c r="A6" s="2" t="s">
        <v>25</v>
      </c>
      <c r="B6" s="2">
        <v>125</v>
      </c>
      <c r="C6" s="3">
        <f t="shared" si="0"/>
        <v>3983.48</v>
      </c>
      <c r="D6" s="3">
        <v>3422</v>
      </c>
    </row>
    <row r="7" spans="1:4">
      <c r="A7" s="2" t="s">
        <v>26</v>
      </c>
      <c r="B7" s="2">
        <v>575</v>
      </c>
      <c r="C7" s="3">
        <f t="shared" si="0"/>
        <v>4466.85</v>
      </c>
      <c r="D7" s="3">
        <v>3968</v>
      </c>
    </row>
    <row r="8" spans="1:4">
      <c r="A8" s="2" t="s">
        <v>27</v>
      </c>
      <c r="B8" s="2">
        <v>850</v>
      </c>
      <c r="C8" s="3">
        <f t="shared" si="0"/>
        <v>5225.22</v>
      </c>
      <c r="D8" s="3">
        <v>4513</v>
      </c>
    </row>
    <row r="9" spans="1:4">
      <c r="A9" s="2" t="s">
        <v>28</v>
      </c>
      <c r="B9" s="2">
        <v>925</v>
      </c>
      <c r="C9" s="3">
        <f t="shared" si="0"/>
        <v>6058.59</v>
      </c>
      <c r="D9" s="3">
        <v>5286</v>
      </c>
    </row>
    <row r="10" spans="1:4">
      <c r="A10" s="2" t="s">
        <v>29</v>
      </c>
      <c r="B10" s="2">
        <v>-725</v>
      </c>
      <c r="C10" s="3">
        <f t="shared" si="0"/>
        <v>5241.96</v>
      </c>
      <c r="D10" s="3">
        <v>4349</v>
      </c>
    </row>
    <row r="11" spans="1:4">
      <c r="A11" s="2" t="s">
        <v>30</v>
      </c>
      <c r="B11" s="2">
        <v>1925</v>
      </c>
      <c r="C11" s="3">
        <f t="shared" si="0"/>
        <v>7075.33</v>
      </c>
      <c r="D11" s="3">
        <v>5717</v>
      </c>
    </row>
    <row r="12" spans="1:4">
      <c r="A12" s="2" t="s">
        <v>31</v>
      </c>
      <c r="B12" s="2">
        <v>-550</v>
      </c>
      <c r="C12" s="3">
        <f t="shared" si="0"/>
        <v>6433.7</v>
      </c>
      <c r="D12" s="3">
        <v>5088</v>
      </c>
    </row>
    <row r="13" spans="1:4">
      <c r="A13" s="2" t="s">
        <v>32</v>
      </c>
      <c r="B13" s="2">
        <v>-75</v>
      </c>
      <c r="C13" s="3">
        <f t="shared" si="0"/>
        <v>6267.07</v>
      </c>
      <c r="D13" s="3">
        <v>4974</v>
      </c>
    </row>
    <row r="14" spans="1:4">
      <c r="A14" s="2" t="s">
        <v>33</v>
      </c>
      <c r="B14" s="2">
        <v>1375</v>
      </c>
      <c r="C14" s="3">
        <f t="shared" si="0"/>
        <v>7550.44</v>
      </c>
      <c r="D14" s="3">
        <v>6056</v>
      </c>
    </row>
    <row r="15" spans="1:4">
      <c r="A15" s="2" t="s">
        <v>34</v>
      </c>
      <c r="B15" s="2">
        <v>-800</v>
      </c>
      <c r="C15" s="3">
        <f t="shared" si="0"/>
        <v>6658.81</v>
      </c>
      <c r="D15" s="3">
        <v>5119</v>
      </c>
    </row>
    <row r="16" spans="1:4">
      <c r="A16" s="2" t="s">
        <v>35</v>
      </c>
      <c r="B16" s="2">
        <v>-150</v>
      </c>
      <c r="C16" s="3">
        <f t="shared" si="0"/>
        <v>6417.18</v>
      </c>
      <c r="D16" s="3">
        <v>5069</v>
      </c>
    </row>
    <row r="17" spans="1:4">
      <c r="A17" s="2" t="s">
        <v>36</v>
      </c>
      <c r="B17" s="2">
        <v>825</v>
      </c>
      <c r="C17" s="3">
        <f t="shared" si="0"/>
        <v>7150.55</v>
      </c>
      <c r="D17" s="3">
        <v>6150</v>
      </c>
    </row>
    <row r="18" spans="1:4">
      <c r="A18" s="2" t="s">
        <v>37</v>
      </c>
      <c r="B18" s="2">
        <v>1550</v>
      </c>
      <c r="C18" s="3">
        <f t="shared" si="0"/>
        <v>8608.92</v>
      </c>
      <c r="D18" s="3">
        <v>7232</v>
      </c>
    </row>
    <row r="19" spans="1:4">
      <c r="A19" s="2" t="s">
        <v>38</v>
      </c>
      <c r="B19" s="2">
        <v>400</v>
      </c>
      <c r="C19" s="3">
        <f t="shared" si="0"/>
        <v>8917.29</v>
      </c>
      <c r="D19" s="3">
        <v>7777</v>
      </c>
    </row>
    <row r="20" spans="1:4">
      <c r="A20" s="2" t="s">
        <v>39</v>
      </c>
      <c r="B20" s="2">
        <v>-850</v>
      </c>
      <c r="C20" s="3">
        <f t="shared" si="0"/>
        <v>7975.66</v>
      </c>
      <c r="D20" s="3">
        <v>7148</v>
      </c>
    </row>
    <row r="21" spans="1:4">
      <c r="A21" s="2" t="s">
        <v>40</v>
      </c>
      <c r="B21" s="2">
        <v>-650</v>
      </c>
      <c r="C21" s="3">
        <f t="shared" si="0"/>
        <v>7234.03</v>
      </c>
      <c r="D21" s="3">
        <v>6232</v>
      </c>
    </row>
    <row r="22" spans="1:4">
      <c r="A22" s="2" t="s">
        <v>41</v>
      </c>
      <c r="B22" s="2">
        <v>-1100</v>
      </c>
      <c r="C22" s="3">
        <f t="shared" si="0"/>
        <v>6042.4</v>
      </c>
      <c r="D22" s="3">
        <v>5315</v>
      </c>
    </row>
    <row r="23" spans="1:4">
      <c r="A23" s="2" t="s">
        <v>42</v>
      </c>
      <c r="B23" s="2">
        <v>-500</v>
      </c>
      <c r="C23" s="3">
        <f t="shared" si="0"/>
        <v>5450.77</v>
      </c>
      <c r="D23" s="3">
        <v>4378</v>
      </c>
    </row>
    <row r="24" spans="1:4">
      <c r="A24" s="2" t="s">
        <v>43</v>
      </c>
      <c r="B24" s="2">
        <v>-425</v>
      </c>
      <c r="C24" s="3">
        <f t="shared" si="0"/>
        <v>4934.14</v>
      </c>
      <c r="D24" s="3">
        <v>4264</v>
      </c>
    </row>
    <row r="25" spans="1:4">
      <c r="A25" s="2" t="s">
        <v>44</v>
      </c>
      <c r="B25" s="2">
        <v>-525</v>
      </c>
      <c r="C25" s="3">
        <f t="shared" si="0"/>
        <v>4317.51</v>
      </c>
      <c r="D25" s="3">
        <v>4214</v>
      </c>
    </row>
    <row r="26" spans="1:4">
      <c r="A26" s="2" t="s">
        <v>45</v>
      </c>
      <c r="B26" s="2">
        <v>-375</v>
      </c>
      <c r="C26" s="3">
        <f t="shared" si="0"/>
        <v>3850.88</v>
      </c>
      <c r="D26" s="3">
        <v>3813</v>
      </c>
    </row>
    <row r="27" spans="1:4">
      <c r="A27" s="2" t="s">
        <v>46</v>
      </c>
      <c r="B27" s="2">
        <v>-575</v>
      </c>
      <c r="C27" s="3">
        <f t="shared" si="0"/>
        <v>3184.25</v>
      </c>
      <c r="D27" s="3">
        <v>3184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"/>
  <sheetViews>
    <sheetView zoomScale="130" zoomScaleNormal="130" workbookViewId="0">
      <selection activeCell="B18" sqref="B18"/>
    </sheetView>
  </sheetViews>
  <sheetFormatPr defaultColWidth="9" defaultRowHeight="13.5" outlineLevelCol="3"/>
  <cols>
    <col min="1" max="3" width="9" style="1"/>
    <col min="4" max="4" width="9.375" style="1"/>
    <col min="5" max="16384" width="9" style="1"/>
  </cols>
  <sheetData>
    <row r="1" s="1" customFormat="1" spans="1:2">
      <c r="A1" s="2"/>
      <c r="B1" s="1">
        <v>4000</v>
      </c>
    </row>
    <row r="2" s="1" customFormat="1" spans="1:4">
      <c r="A2" s="2" t="s">
        <v>22</v>
      </c>
      <c r="B2" s="1">
        <v>3575</v>
      </c>
      <c r="C2" s="1">
        <f>B2-B1</f>
        <v>-425</v>
      </c>
      <c r="D2" s="1">
        <f>C2-91.63</f>
        <v>-516.63</v>
      </c>
    </row>
    <row r="3" s="1" customFormat="1" spans="1:4">
      <c r="A3" s="2" t="s">
        <v>23</v>
      </c>
      <c r="B3" s="1">
        <v>3500</v>
      </c>
      <c r="C3" s="1">
        <f t="shared" ref="C3:C26" si="0">B3-B2</f>
        <v>-75</v>
      </c>
      <c r="D3" s="1">
        <f t="shared" ref="D3:D26" si="1">C3-91.63</f>
        <v>-166.63</v>
      </c>
    </row>
    <row r="4" s="1" customFormat="1" spans="1:4">
      <c r="A4" s="2" t="s">
        <v>24</v>
      </c>
      <c r="B4" s="1">
        <v>4225</v>
      </c>
      <c r="C4" s="1">
        <f t="shared" si="0"/>
        <v>725</v>
      </c>
      <c r="D4" s="1">
        <f t="shared" si="1"/>
        <v>633.37</v>
      </c>
    </row>
    <row r="5" s="1" customFormat="1" spans="1:4">
      <c r="A5" s="2" t="s">
        <v>25</v>
      </c>
      <c r="B5" s="1">
        <v>4350</v>
      </c>
      <c r="C5" s="1">
        <f t="shared" si="0"/>
        <v>125</v>
      </c>
      <c r="D5" s="1">
        <f t="shared" si="1"/>
        <v>33.37</v>
      </c>
    </row>
    <row r="6" s="1" customFormat="1" spans="1:4">
      <c r="A6" s="2" t="s">
        <v>26</v>
      </c>
      <c r="B6" s="1">
        <v>4925</v>
      </c>
      <c r="C6" s="1">
        <f t="shared" si="0"/>
        <v>575</v>
      </c>
      <c r="D6" s="1">
        <f t="shared" si="1"/>
        <v>483.37</v>
      </c>
    </row>
    <row r="7" s="1" customFormat="1" spans="1:4">
      <c r="A7" s="2" t="s">
        <v>27</v>
      </c>
      <c r="B7" s="1">
        <v>5775</v>
      </c>
      <c r="C7" s="1">
        <f t="shared" si="0"/>
        <v>850</v>
      </c>
      <c r="D7" s="1">
        <f t="shared" si="1"/>
        <v>758.37</v>
      </c>
    </row>
    <row r="8" s="1" customFormat="1" spans="1:4">
      <c r="A8" s="2" t="s">
        <v>28</v>
      </c>
      <c r="B8" s="1">
        <v>6700</v>
      </c>
      <c r="C8" s="1">
        <f t="shared" si="0"/>
        <v>925</v>
      </c>
      <c r="D8" s="1">
        <f t="shared" si="1"/>
        <v>833.37</v>
      </c>
    </row>
    <row r="9" s="1" customFormat="1" spans="1:4">
      <c r="A9" s="2" t="s">
        <v>29</v>
      </c>
      <c r="B9" s="1">
        <v>5975</v>
      </c>
      <c r="C9" s="1">
        <f t="shared" si="0"/>
        <v>-725</v>
      </c>
      <c r="D9" s="1">
        <f t="shared" si="1"/>
        <v>-816.63</v>
      </c>
    </row>
    <row r="10" s="1" customFormat="1" spans="1:4">
      <c r="A10" s="2" t="s">
        <v>30</v>
      </c>
      <c r="B10" s="1">
        <v>7900</v>
      </c>
      <c r="C10" s="1">
        <f t="shared" si="0"/>
        <v>1925</v>
      </c>
      <c r="D10" s="1">
        <f t="shared" si="1"/>
        <v>1833.37</v>
      </c>
    </row>
    <row r="11" s="1" customFormat="1" spans="1:4">
      <c r="A11" s="2" t="s">
        <v>31</v>
      </c>
      <c r="B11" s="1">
        <v>7350</v>
      </c>
      <c r="C11" s="1">
        <f t="shared" si="0"/>
        <v>-550</v>
      </c>
      <c r="D11" s="1">
        <f t="shared" si="1"/>
        <v>-641.63</v>
      </c>
    </row>
    <row r="12" s="1" customFormat="1" spans="1:4">
      <c r="A12" s="2" t="s">
        <v>32</v>
      </c>
      <c r="B12" s="1">
        <v>7275</v>
      </c>
      <c r="C12" s="1">
        <f t="shared" si="0"/>
        <v>-75</v>
      </c>
      <c r="D12" s="1">
        <f t="shared" si="1"/>
        <v>-166.63</v>
      </c>
    </row>
    <row r="13" s="1" customFormat="1" spans="1:4">
      <c r="A13" s="2" t="s">
        <v>33</v>
      </c>
      <c r="B13" s="1">
        <v>8650</v>
      </c>
      <c r="C13" s="1">
        <f t="shared" si="0"/>
        <v>1375</v>
      </c>
      <c r="D13" s="1">
        <f t="shared" si="1"/>
        <v>1283.37</v>
      </c>
    </row>
    <row r="14" s="1" customFormat="1" spans="1:4">
      <c r="A14" s="2" t="s">
        <v>34</v>
      </c>
      <c r="B14" s="1">
        <v>7850</v>
      </c>
      <c r="C14" s="1">
        <f t="shared" si="0"/>
        <v>-800</v>
      </c>
      <c r="D14" s="1">
        <f t="shared" si="1"/>
        <v>-891.63</v>
      </c>
    </row>
    <row r="15" s="1" customFormat="1" spans="1:4">
      <c r="A15" s="2" t="s">
        <v>35</v>
      </c>
      <c r="B15" s="1">
        <v>7700</v>
      </c>
      <c r="C15" s="1">
        <f t="shared" si="0"/>
        <v>-150</v>
      </c>
      <c r="D15" s="1">
        <f t="shared" si="1"/>
        <v>-241.63</v>
      </c>
    </row>
    <row r="16" s="1" customFormat="1" spans="1:4">
      <c r="A16" s="2" t="s">
        <v>36</v>
      </c>
      <c r="B16" s="1">
        <v>8525</v>
      </c>
      <c r="C16" s="1">
        <f t="shared" si="0"/>
        <v>825</v>
      </c>
      <c r="D16" s="1">
        <f t="shared" si="1"/>
        <v>733.37</v>
      </c>
    </row>
    <row r="17" s="1" customFormat="1" spans="1:4">
      <c r="A17" s="2" t="s">
        <v>37</v>
      </c>
      <c r="B17" s="1">
        <v>10075</v>
      </c>
      <c r="C17" s="1">
        <f t="shared" si="0"/>
        <v>1550</v>
      </c>
      <c r="D17" s="1">
        <f t="shared" si="1"/>
        <v>1458.37</v>
      </c>
    </row>
    <row r="18" s="1" customFormat="1" spans="1:4">
      <c r="A18" s="2" t="s">
        <v>38</v>
      </c>
      <c r="B18" s="1">
        <v>10475</v>
      </c>
      <c r="C18" s="1">
        <f t="shared" si="0"/>
        <v>400</v>
      </c>
      <c r="D18" s="1">
        <f t="shared" si="1"/>
        <v>308.37</v>
      </c>
    </row>
    <row r="19" s="1" customFormat="1" spans="1:4">
      <c r="A19" s="2" t="s">
        <v>39</v>
      </c>
      <c r="B19" s="1">
        <v>9625</v>
      </c>
      <c r="C19" s="1">
        <f t="shared" si="0"/>
        <v>-850</v>
      </c>
      <c r="D19" s="1">
        <f t="shared" si="1"/>
        <v>-941.63</v>
      </c>
    </row>
    <row r="20" s="1" customFormat="1" spans="1:4">
      <c r="A20" s="2" t="s">
        <v>40</v>
      </c>
      <c r="B20" s="1">
        <v>8975</v>
      </c>
      <c r="C20" s="1">
        <f t="shared" si="0"/>
        <v>-650</v>
      </c>
      <c r="D20" s="1">
        <f t="shared" si="1"/>
        <v>-741.63</v>
      </c>
    </row>
    <row r="21" s="1" customFormat="1" spans="1:4">
      <c r="A21" s="2" t="s">
        <v>41</v>
      </c>
      <c r="B21" s="1">
        <v>7875</v>
      </c>
      <c r="C21" s="1">
        <f t="shared" si="0"/>
        <v>-1100</v>
      </c>
      <c r="D21" s="1">
        <f t="shared" si="1"/>
        <v>-1191.63</v>
      </c>
    </row>
    <row r="22" s="1" customFormat="1" spans="1:4">
      <c r="A22" s="2" t="s">
        <v>42</v>
      </c>
      <c r="B22" s="1">
        <v>7375</v>
      </c>
      <c r="C22" s="1">
        <f t="shared" si="0"/>
        <v>-500</v>
      </c>
      <c r="D22" s="1">
        <f t="shared" si="1"/>
        <v>-591.63</v>
      </c>
    </row>
    <row r="23" s="1" customFormat="1" spans="1:4">
      <c r="A23" s="2" t="s">
        <v>43</v>
      </c>
      <c r="B23" s="1">
        <v>6950</v>
      </c>
      <c r="C23" s="1">
        <f t="shared" si="0"/>
        <v>-425</v>
      </c>
      <c r="D23" s="1">
        <f t="shared" si="1"/>
        <v>-516.63</v>
      </c>
    </row>
    <row r="24" s="1" customFormat="1" spans="1:4">
      <c r="A24" s="2" t="s">
        <v>44</v>
      </c>
      <c r="B24" s="1">
        <v>6425</v>
      </c>
      <c r="C24" s="1">
        <f t="shared" si="0"/>
        <v>-525</v>
      </c>
      <c r="D24" s="1">
        <f t="shared" si="1"/>
        <v>-616.63</v>
      </c>
    </row>
    <row r="25" s="1" customFormat="1" spans="1:4">
      <c r="A25" s="2" t="s">
        <v>45</v>
      </c>
      <c r="B25" s="1">
        <v>6050</v>
      </c>
      <c r="C25" s="1">
        <f t="shared" si="0"/>
        <v>-375</v>
      </c>
      <c r="D25" s="1">
        <f t="shared" si="1"/>
        <v>-466.63</v>
      </c>
    </row>
    <row r="26" s="1" customFormat="1" spans="1:4">
      <c r="A26" s="2" t="s">
        <v>46</v>
      </c>
      <c r="B26" s="1">
        <v>5475</v>
      </c>
      <c r="C26" s="1">
        <f t="shared" si="0"/>
        <v>-575</v>
      </c>
      <c r="D26" s="1">
        <f t="shared" si="1"/>
        <v>-666.63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额外阳光消耗</vt:lpstr>
      <vt:lpstr>模型参数</vt:lpstr>
      <vt:lpstr>折线对比</vt:lpstr>
      <vt:lpstr>阳光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2025-05-09T23:35:28Z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