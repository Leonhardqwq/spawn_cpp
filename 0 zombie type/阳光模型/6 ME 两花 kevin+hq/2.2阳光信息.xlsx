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350" windowHeight="17790" activeTab="3"/>
  </bookViews>
  <sheets>
    <sheet name="汇总" sheetId="4" r:id="rId1"/>
    <sheet name="额外阳光消耗" sheetId="6" r:id="rId2"/>
    <sheet name="模型参数" sheetId="5" r:id="rId3"/>
    <sheet name="折线对比" sheetId="7" r:id="rId4"/>
  </sheets>
  <calcPr calcId="144525"/>
</workbook>
</file>

<file path=xl/sharedStrings.xml><?xml version="1.0" encoding="utf-8"?>
<sst xmlns="http://schemas.openxmlformats.org/spreadsheetml/2006/main" count="146" uniqueCount="57">
  <si>
    <t>flag</t>
  </si>
  <si>
    <t>Y</t>
  </si>
  <si>
    <t>路障</t>
  </si>
  <si>
    <t>撑杆</t>
  </si>
  <si>
    <t>铁桶</t>
  </si>
  <si>
    <t>读报</t>
  </si>
  <si>
    <t>铁门</t>
  </si>
  <si>
    <t>橄榄</t>
  </si>
  <si>
    <t>舞王</t>
  </si>
  <si>
    <t>潜水</t>
  </si>
  <si>
    <t>冰车</t>
  </si>
  <si>
    <t>海豚</t>
  </si>
  <si>
    <t>小丑</t>
  </si>
  <si>
    <t>气球</t>
  </si>
  <si>
    <t>矿工</t>
  </si>
  <si>
    <t>跳跳</t>
  </si>
  <si>
    <t>蹦极</t>
  </si>
  <si>
    <t>扶梯</t>
  </si>
  <si>
    <t>投篮</t>
  </si>
  <si>
    <t>白眼</t>
  </si>
  <si>
    <t>红眼</t>
  </si>
  <si>
    <t>权重和</t>
  </si>
  <si>
    <t>2002f</t>
  </si>
  <si>
    <t>2004f</t>
  </si>
  <si>
    <t>2006f</t>
  </si>
  <si>
    <t>2008f</t>
  </si>
  <si>
    <t>2010f</t>
  </si>
  <si>
    <t>2012f</t>
  </si>
  <si>
    <t>2014f</t>
  </si>
  <si>
    <t>2016f</t>
  </si>
  <si>
    <t>2018f</t>
  </si>
  <si>
    <t>2020f</t>
  </si>
  <si>
    <t>2022f</t>
  </si>
  <si>
    <t>2024f</t>
  </si>
  <si>
    <t>2026f</t>
  </si>
  <si>
    <t>2028f</t>
  </si>
  <si>
    <t>2030f</t>
  </si>
  <si>
    <t>2032f</t>
  </si>
  <si>
    <t>2034f</t>
  </si>
  <si>
    <t>2036f</t>
  </si>
  <si>
    <t>2038f</t>
  </si>
  <si>
    <t>2040f</t>
  </si>
  <si>
    <t>2042f</t>
  </si>
  <si>
    <t>2044f</t>
  </si>
  <si>
    <t>2046f</t>
  </si>
  <si>
    <t>2048f</t>
  </si>
  <si>
    <t>2050f</t>
  </si>
  <si>
    <t>个数</t>
  </si>
  <si>
    <t>均摊阳光</t>
  </si>
  <si>
    <t>曾损</t>
  </si>
  <si>
    <t>喷损</t>
  </si>
  <si>
    <t>南瓜</t>
  </si>
  <si>
    <t>瓜损</t>
  </si>
  <si>
    <t>总共</t>
  </si>
  <si>
    <t>const</t>
  </si>
  <si>
    <t>dlt</t>
  </si>
  <si>
    <t>pred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</si>
</sst>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0.5"/>
      <color theme="1"/>
      <name val="Segoe UI"/>
      <charset val="134"/>
    </font>
    <font>
      <sz val="10.5"/>
      <color theme="1"/>
      <name val="宋体"/>
      <charset val="134"/>
    </font>
    <font>
      <sz val="10.5"/>
      <color theme="1"/>
      <name val="Segoe U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14" applyNumberFormat="0" applyAlignment="0" applyProtection="0">
      <alignment vertical="center"/>
    </xf>
    <xf numFmtId="0" fontId="18" fillId="11" borderId="10" applyNumberFormat="0" applyAlignment="0" applyProtection="0">
      <alignment vertical="center"/>
    </xf>
    <xf numFmtId="0" fontId="19" fillId="12" borderId="15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Fill="1" applyBorder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176" fontId="0" fillId="0" borderId="0" xfId="0" applyNumberFormat="1">
      <alignment vertical="center"/>
    </xf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1" xfId="0" applyFill="1" applyBorder="1" applyAlignment="1">
      <alignment vertical="center"/>
    </xf>
    <xf numFmtId="0" fontId="0" fillId="0" borderId="3" xfId="0" applyFill="1" applyBorder="1">
      <alignment vertical="center"/>
    </xf>
    <xf numFmtId="0" fontId="0" fillId="0" borderId="4" xfId="0" applyFill="1" applyBorder="1">
      <alignment vertical="center"/>
    </xf>
    <xf numFmtId="0" fontId="0" fillId="0" borderId="5" xfId="0" applyFill="1" applyBorder="1" applyAlignment="1">
      <alignment vertical="center"/>
    </xf>
    <xf numFmtId="0" fontId="0" fillId="0" borderId="6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8" xfId="0" applyFill="1" applyBorder="1">
      <alignment vertical="center"/>
    </xf>
    <xf numFmtId="0" fontId="0" fillId="0" borderId="9" xfId="0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折线对比!$C$1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折线对比!$C$32:$C$57</c:f>
              <c:numCache>
                <c:formatCode>General</c:formatCode>
                <c:ptCount val="26"/>
                <c:pt idx="0">
                  <c:v>4000</c:v>
                </c:pt>
                <c:pt idx="1">
                  <c:v>3483.37</c:v>
                </c:pt>
                <c:pt idx="2">
                  <c:v>3316.74</c:v>
                </c:pt>
                <c:pt idx="3">
                  <c:v>3950.11</c:v>
                </c:pt>
                <c:pt idx="4">
                  <c:v>3983.48</c:v>
                </c:pt>
                <c:pt idx="5">
                  <c:v>4466.85</c:v>
                </c:pt>
                <c:pt idx="6">
                  <c:v>5225.22</c:v>
                </c:pt>
                <c:pt idx="7">
                  <c:v>6058.59</c:v>
                </c:pt>
                <c:pt idx="8">
                  <c:v>5241.96</c:v>
                </c:pt>
                <c:pt idx="9">
                  <c:v>7075.33</c:v>
                </c:pt>
                <c:pt idx="10">
                  <c:v>6433.7</c:v>
                </c:pt>
                <c:pt idx="11">
                  <c:v>6267.07</c:v>
                </c:pt>
                <c:pt idx="12">
                  <c:v>7550.44</c:v>
                </c:pt>
                <c:pt idx="13">
                  <c:v>6658.81</c:v>
                </c:pt>
                <c:pt idx="14">
                  <c:v>6417.18</c:v>
                </c:pt>
                <c:pt idx="15">
                  <c:v>7150.55</c:v>
                </c:pt>
                <c:pt idx="16">
                  <c:v>8608.92</c:v>
                </c:pt>
                <c:pt idx="17">
                  <c:v>8917.29</c:v>
                </c:pt>
                <c:pt idx="18">
                  <c:v>7975.66</c:v>
                </c:pt>
                <c:pt idx="19">
                  <c:v>7234.03</c:v>
                </c:pt>
                <c:pt idx="20">
                  <c:v>6042.4</c:v>
                </c:pt>
                <c:pt idx="21">
                  <c:v>5450.77</c:v>
                </c:pt>
                <c:pt idx="22">
                  <c:v>4934.14</c:v>
                </c:pt>
                <c:pt idx="23">
                  <c:v>4317.51</c:v>
                </c:pt>
                <c:pt idx="24">
                  <c:v>3850.88</c:v>
                </c:pt>
                <c:pt idx="25">
                  <c:v>3184.25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折线对比!$D$1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折线对比!$D$32:$D$57</c:f>
              <c:numCache>
                <c:formatCode>General</c:formatCode>
                <c:ptCount val="26"/>
                <c:pt idx="0">
                  <c:v>4000</c:v>
                </c:pt>
                <c:pt idx="1">
                  <c:v>2752</c:v>
                </c:pt>
                <c:pt idx="2">
                  <c:v>2584</c:v>
                </c:pt>
                <c:pt idx="3">
                  <c:v>3120</c:v>
                </c:pt>
                <c:pt idx="4">
                  <c:v>3311</c:v>
                </c:pt>
                <c:pt idx="5">
                  <c:v>4025</c:v>
                </c:pt>
                <c:pt idx="6">
                  <c:v>4738</c:v>
                </c:pt>
                <c:pt idx="7">
                  <c:v>5641</c:v>
                </c:pt>
                <c:pt idx="8">
                  <c:v>4575</c:v>
                </c:pt>
                <c:pt idx="9">
                  <c:v>5925</c:v>
                </c:pt>
                <c:pt idx="10">
                  <c:v>5303</c:v>
                </c:pt>
                <c:pt idx="11">
                  <c:v>5051</c:v>
                </c:pt>
                <c:pt idx="12">
                  <c:v>6219</c:v>
                </c:pt>
                <c:pt idx="13">
                  <c:v>5153</c:v>
                </c:pt>
                <c:pt idx="14">
                  <c:v>5242</c:v>
                </c:pt>
                <c:pt idx="15">
                  <c:v>6410</c:v>
                </c:pt>
                <c:pt idx="16">
                  <c:v>7578</c:v>
                </c:pt>
                <c:pt idx="17">
                  <c:v>8114</c:v>
                </c:pt>
                <c:pt idx="18">
                  <c:v>7491</c:v>
                </c:pt>
                <c:pt idx="19">
                  <c:v>6331</c:v>
                </c:pt>
                <c:pt idx="20">
                  <c:v>5349</c:v>
                </c:pt>
                <c:pt idx="21">
                  <c:v>4461</c:v>
                </c:pt>
                <c:pt idx="22">
                  <c:v>4209</c:v>
                </c:pt>
                <c:pt idx="23">
                  <c:v>4120</c:v>
                </c:pt>
                <c:pt idx="24">
                  <c:v>3686</c:v>
                </c:pt>
                <c:pt idx="25">
                  <c:v>2885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8757453"/>
        <c:axId val="495685896"/>
      </c:lineChart>
      <c:catAx>
        <c:axId val="8787574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685896"/>
        <c:crosses val="autoZero"/>
        <c:auto val="1"/>
        <c:lblAlgn val="ctr"/>
        <c:lblOffset val="100"/>
        <c:noMultiLvlLbl val="0"/>
      </c:catAx>
      <c:valAx>
        <c:axId val="495685896"/>
        <c:scaling>
          <c:orientation val="minMax"/>
          <c:max val="9000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7574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折线对比!$C$1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折线对比!$C$18:$C$30</c:f>
              <c:numCache>
                <c:formatCode>General</c:formatCode>
                <c:ptCount val="13"/>
                <c:pt idx="0">
                  <c:v>1000</c:v>
                </c:pt>
                <c:pt idx="1">
                  <c:v>1430.53</c:v>
                </c:pt>
                <c:pt idx="2">
                  <c:v>3086.06</c:v>
                </c:pt>
                <c:pt idx="3">
                  <c:v>3741.59</c:v>
                </c:pt>
                <c:pt idx="4">
                  <c:v>4197.12</c:v>
                </c:pt>
                <c:pt idx="5">
                  <c:v>5577.65</c:v>
                </c:pt>
                <c:pt idx="6">
                  <c:v>6283.18</c:v>
                </c:pt>
                <c:pt idx="7">
                  <c:v>6863.71</c:v>
                </c:pt>
                <c:pt idx="8">
                  <c:v>8669.24</c:v>
                </c:pt>
                <c:pt idx="9">
                  <c:v>8774.77</c:v>
                </c:pt>
                <c:pt idx="10">
                  <c:v>10030.3</c:v>
                </c:pt>
                <c:pt idx="11">
                  <c:v>10535.83</c:v>
                </c:pt>
                <c:pt idx="12">
                  <c:v>11041.36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折线对比!$D$1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折线对比!$D$18:$D$30</c:f>
              <c:numCache>
                <c:formatCode>General</c:formatCode>
                <c:ptCount val="13"/>
                <c:pt idx="0">
                  <c:v>1000</c:v>
                </c:pt>
                <c:pt idx="1">
                  <c:v>1354</c:v>
                </c:pt>
                <c:pt idx="2">
                  <c:v>2882</c:v>
                </c:pt>
                <c:pt idx="3">
                  <c:v>3331</c:v>
                </c:pt>
                <c:pt idx="4">
                  <c:v>3507</c:v>
                </c:pt>
                <c:pt idx="5">
                  <c:v>4675</c:v>
                </c:pt>
                <c:pt idx="6">
                  <c:v>5401</c:v>
                </c:pt>
                <c:pt idx="7">
                  <c:v>6303</c:v>
                </c:pt>
                <c:pt idx="8">
                  <c:v>7831</c:v>
                </c:pt>
                <c:pt idx="9">
                  <c:v>8185</c:v>
                </c:pt>
                <c:pt idx="10">
                  <c:v>9088</c:v>
                </c:pt>
                <c:pt idx="11">
                  <c:v>9537</c:v>
                </c:pt>
                <c:pt idx="12">
                  <c:v>10251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8757453"/>
        <c:axId val="495685896"/>
      </c:lineChart>
      <c:catAx>
        <c:axId val="8787574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685896"/>
        <c:crosses val="autoZero"/>
        <c:auto val="1"/>
        <c:lblAlgn val="ctr"/>
        <c:lblOffset val="100"/>
        <c:noMultiLvlLbl val="0"/>
      </c:catAx>
      <c:valAx>
        <c:axId val="495685896"/>
        <c:scaling>
          <c:orientation val="minMax"/>
          <c:max val="1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7574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折线对比!$C$1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折线对比!$C$2:$C$16</c:f>
              <c:numCache>
                <c:formatCode>General</c:formatCode>
                <c:ptCount val="15"/>
                <c:pt idx="0">
                  <c:v>10000</c:v>
                </c:pt>
                <c:pt idx="1">
                  <c:v>10041.55</c:v>
                </c:pt>
                <c:pt idx="2">
                  <c:v>9883.1</c:v>
                </c:pt>
                <c:pt idx="3">
                  <c:v>8749.65</c:v>
                </c:pt>
                <c:pt idx="4">
                  <c:v>8391.2</c:v>
                </c:pt>
                <c:pt idx="5">
                  <c:v>7032.75</c:v>
                </c:pt>
                <c:pt idx="6">
                  <c:v>6149.3</c:v>
                </c:pt>
                <c:pt idx="7">
                  <c:v>5415.85</c:v>
                </c:pt>
                <c:pt idx="8">
                  <c:v>4882.4</c:v>
                </c:pt>
                <c:pt idx="9">
                  <c:v>4673.95</c:v>
                </c:pt>
                <c:pt idx="10">
                  <c:v>3590.5</c:v>
                </c:pt>
                <c:pt idx="11">
                  <c:v>3257.05</c:v>
                </c:pt>
                <c:pt idx="12">
                  <c:v>2148.6</c:v>
                </c:pt>
                <c:pt idx="13">
                  <c:v>1590.15</c:v>
                </c:pt>
                <c:pt idx="14">
                  <c:v>556.699999999998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折线对比!$D$1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折线对比!$D$2:$D$16</c:f>
              <c:numCache>
                <c:formatCode>General</c:formatCode>
                <c:ptCount val="15"/>
                <c:pt idx="0">
                  <c:v>10000</c:v>
                </c:pt>
                <c:pt idx="1">
                  <c:v>9926</c:v>
                </c:pt>
                <c:pt idx="2">
                  <c:v>9674</c:v>
                </c:pt>
                <c:pt idx="3">
                  <c:v>8248</c:v>
                </c:pt>
                <c:pt idx="4">
                  <c:v>7814</c:v>
                </c:pt>
                <c:pt idx="5">
                  <c:v>6748</c:v>
                </c:pt>
                <c:pt idx="6">
                  <c:v>5948</c:v>
                </c:pt>
                <c:pt idx="7">
                  <c:v>5325</c:v>
                </c:pt>
                <c:pt idx="8">
                  <c:v>5073</c:v>
                </c:pt>
                <c:pt idx="9">
                  <c:v>4727</c:v>
                </c:pt>
                <c:pt idx="10">
                  <c:v>3926</c:v>
                </c:pt>
                <c:pt idx="11">
                  <c:v>3758</c:v>
                </c:pt>
                <c:pt idx="12">
                  <c:v>3146</c:v>
                </c:pt>
                <c:pt idx="13">
                  <c:v>2712</c:v>
                </c:pt>
                <c:pt idx="14">
                  <c:v>1646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8757453"/>
        <c:axId val="495685896"/>
      </c:lineChart>
      <c:catAx>
        <c:axId val="8787574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685896"/>
        <c:crosses val="autoZero"/>
        <c:auto val="1"/>
        <c:lblAlgn val="ctr"/>
        <c:lblOffset val="100"/>
        <c:noMultiLvlLbl val="0"/>
      </c:catAx>
      <c:valAx>
        <c:axId val="495685896"/>
        <c:scaling>
          <c:orientation val="minMax"/>
          <c:max val="1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7574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237490</xdr:colOff>
      <xdr:row>33</xdr:row>
      <xdr:rowOff>69850</xdr:rowOff>
    </xdr:from>
    <xdr:to>
      <xdr:col>14</xdr:col>
      <xdr:colOff>13970</xdr:colOff>
      <xdr:row>50</xdr:row>
      <xdr:rowOff>4445</xdr:rowOff>
    </xdr:to>
    <xdr:graphicFrame>
      <xdr:nvGraphicFramePr>
        <xdr:cNvPr id="4" name="图表 3"/>
        <xdr:cNvGraphicFramePr/>
      </xdr:nvGraphicFramePr>
      <xdr:xfrm>
        <a:off x="4589145" y="5727700"/>
        <a:ext cx="5262880" cy="28492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219710</xdr:colOff>
      <xdr:row>17</xdr:row>
      <xdr:rowOff>29845</xdr:rowOff>
    </xdr:from>
    <xdr:to>
      <xdr:col>13</xdr:col>
      <xdr:colOff>683260</xdr:colOff>
      <xdr:row>33</xdr:row>
      <xdr:rowOff>1905</xdr:rowOff>
    </xdr:to>
    <xdr:graphicFrame>
      <xdr:nvGraphicFramePr>
        <xdr:cNvPr id="3" name="图表 2"/>
        <xdr:cNvGraphicFramePr/>
      </xdr:nvGraphicFramePr>
      <xdr:xfrm>
        <a:off x="4571365" y="2944495"/>
        <a:ext cx="5264150" cy="2715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220345</xdr:colOff>
      <xdr:row>0</xdr:row>
      <xdr:rowOff>100965</xdr:rowOff>
    </xdr:from>
    <xdr:to>
      <xdr:col>13</xdr:col>
      <xdr:colOff>666750</xdr:colOff>
      <xdr:row>16</xdr:row>
      <xdr:rowOff>122555</xdr:rowOff>
    </xdr:to>
    <xdr:graphicFrame>
      <xdr:nvGraphicFramePr>
        <xdr:cNvPr id="5" name="图表 4"/>
        <xdr:cNvGraphicFramePr/>
      </xdr:nvGraphicFramePr>
      <xdr:xfrm>
        <a:off x="4572000" y="100965"/>
        <a:ext cx="5247005" cy="2764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2"/>
  <sheetViews>
    <sheetView zoomScale="85" zoomScaleNormal="85" workbookViewId="0">
      <selection activeCell="A28" sqref="A28:B52"/>
    </sheetView>
  </sheetViews>
  <sheetFormatPr defaultColWidth="9" defaultRowHeight="13.5"/>
  <cols>
    <col min="1" max="1" width="9" style="8"/>
    <col min="2" max="2" width="13.75" style="8"/>
    <col min="3" max="16384" width="9" style="8"/>
  </cols>
  <sheetData>
    <row r="1" s="8" customFormat="1" ht="14.25" spans="1:22">
      <c r="A1" s="9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</row>
    <row r="2" s="8" customFormat="1" spans="1:22">
      <c r="A2" s="11" t="s">
        <v>22</v>
      </c>
      <c r="B2" s="12">
        <v>150</v>
      </c>
      <c r="C2" s="13">
        <v>1</v>
      </c>
      <c r="D2" s="10">
        <v>0</v>
      </c>
      <c r="E2" s="10">
        <v>0</v>
      </c>
      <c r="F2" s="10">
        <v>1</v>
      </c>
      <c r="G2" s="10">
        <v>1</v>
      </c>
      <c r="H2" s="10">
        <v>1</v>
      </c>
      <c r="I2" s="10">
        <v>0</v>
      </c>
      <c r="J2" s="10">
        <v>0</v>
      </c>
      <c r="K2" s="10">
        <v>1</v>
      </c>
      <c r="L2" s="10">
        <v>0</v>
      </c>
      <c r="M2" s="10">
        <v>1</v>
      </c>
      <c r="N2" s="10">
        <v>0</v>
      </c>
      <c r="O2" s="10">
        <v>0</v>
      </c>
      <c r="P2" s="10">
        <v>0</v>
      </c>
      <c r="Q2" s="10">
        <v>1</v>
      </c>
      <c r="R2" s="10">
        <v>0</v>
      </c>
      <c r="S2" s="10">
        <v>1</v>
      </c>
      <c r="T2" s="10">
        <v>0</v>
      </c>
      <c r="U2" s="10">
        <v>1</v>
      </c>
      <c r="V2" s="10">
        <v>13401</v>
      </c>
    </row>
    <row r="3" s="8" customFormat="1" spans="1:22">
      <c r="A3" s="14" t="s">
        <v>23</v>
      </c>
      <c r="B3" s="15">
        <v>-50</v>
      </c>
      <c r="C3" s="13">
        <v>1</v>
      </c>
      <c r="D3" s="10">
        <v>0</v>
      </c>
      <c r="E3" s="10">
        <v>1</v>
      </c>
      <c r="F3" s="10">
        <v>1</v>
      </c>
      <c r="G3" s="10">
        <v>0</v>
      </c>
      <c r="H3" s="10">
        <v>1</v>
      </c>
      <c r="I3" s="10">
        <v>0</v>
      </c>
      <c r="J3" s="10">
        <v>0</v>
      </c>
      <c r="K3" s="10">
        <v>1</v>
      </c>
      <c r="L3" s="10">
        <v>0</v>
      </c>
      <c r="M3" s="10">
        <v>1</v>
      </c>
      <c r="N3" s="10">
        <v>0</v>
      </c>
      <c r="O3" s="10">
        <v>0</v>
      </c>
      <c r="P3" s="10">
        <v>1</v>
      </c>
      <c r="Q3" s="10">
        <v>0</v>
      </c>
      <c r="R3" s="10">
        <v>0</v>
      </c>
      <c r="S3" s="10">
        <v>0</v>
      </c>
      <c r="T3" s="10">
        <v>0</v>
      </c>
      <c r="U3" s="10">
        <v>1</v>
      </c>
      <c r="V3" s="10">
        <v>12401</v>
      </c>
    </row>
    <row r="4" s="8" customFormat="1" spans="1:22">
      <c r="A4" s="14" t="s">
        <v>24</v>
      </c>
      <c r="B4" s="15">
        <v>-1025</v>
      </c>
      <c r="C4" s="13">
        <v>1</v>
      </c>
      <c r="D4" s="10">
        <v>1</v>
      </c>
      <c r="E4" s="10">
        <v>0</v>
      </c>
      <c r="F4" s="10">
        <v>1</v>
      </c>
      <c r="G4" s="10">
        <v>0</v>
      </c>
      <c r="H4" s="10">
        <v>1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1</v>
      </c>
      <c r="O4" s="10">
        <v>0</v>
      </c>
      <c r="P4" s="10">
        <v>0</v>
      </c>
      <c r="Q4" s="10">
        <v>1</v>
      </c>
      <c r="R4" s="10">
        <v>1</v>
      </c>
      <c r="S4" s="10">
        <v>0</v>
      </c>
      <c r="T4" s="10">
        <v>1</v>
      </c>
      <c r="U4" s="10">
        <v>1</v>
      </c>
      <c r="V4" s="10">
        <v>11901</v>
      </c>
    </row>
    <row r="5" s="8" customFormat="1" spans="1:22">
      <c r="A5" s="14" t="s">
        <v>25</v>
      </c>
      <c r="B5" s="15">
        <v>-250</v>
      </c>
      <c r="C5" s="13">
        <v>1</v>
      </c>
      <c r="D5" s="10">
        <v>1</v>
      </c>
      <c r="E5" s="10">
        <v>1</v>
      </c>
      <c r="F5" s="10">
        <v>1</v>
      </c>
      <c r="G5" s="10">
        <v>1</v>
      </c>
      <c r="H5" s="10">
        <v>1</v>
      </c>
      <c r="I5" s="10">
        <v>0</v>
      </c>
      <c r="J5" s="10">
        <v>0</v>
      </c>
      <c r="K5" s="10">
        <v>0</v>
      </c>
      <c r="L5" s="10">
        <v>0</v>
      </c>
      <c r="M5" s="10">
        <v>1</v>
      </c>
      <c r="N5" s="10">
        <v>0</v>
      </c>
      <c r="O5" s="10">
        <v>0</v>
      </c>
      <c r="P5" s="10">
        <v>1</v>
      </c>
      <c r="Q5" s="10">
        <v>0</v>
      </c>
      <c r="R5" s="10">
        <v>0</v>
      </c>
      <c r="S5" s="10">
        <v>0</v>
      </c>
      <c r="T5" s="10">
        <v>1</v>
      </c>
      <c r="U5" s="10">
        <v>1</v>
      </c>
      <c r="V5" s="10">
        <v>17401</v>
      </c>
    </row>
    <row r="6" s="8" customFormat="1" spans="1:22">
      <c r="A6" s="14" t="s">
        <v>26</v>
      </c>
      <c r="B6" s="15">
        <v>-1250</v>
      </c>
      <c r="C6" s="13">
        <v>1</v>
      </c>
      <c r="D6" s="10">
        <v>0</v>
      </c>
      <c r="E6" s="10">
        <v>1</v>
      </c>
      <c r="F6" s="10">
        <v>0</v>
      </c>
      <c r="G6" s="10">
        <v>0</v>
      </c>
      <c r="H6" s="10">
        <v>1</v>
      </c>
      <c r="I6" s="10">
        <v>0</v>
      </c>
      <c r="J6" s="10">
        <v>0</v>
      </c>
      <c r="K6" s="10">
        <v>1</v>
      </c>
      <c r="L6" s="10">
        <v>0</v>
      </c>
      <c r="M6" s="10">
        <v>0</v>
      </c>
      <c r="N6" s="10">
        <v>1</v>
      </c>
      <c r="O6" s="10">
        <v>0</v>
      </c>
      <c r="P6" s="10">
        <v>0</v>
      </c>
      <c r="Q6" s="10">
        <v>1</v>
      </c>
      <c r="R6" s="10">
        <v>0</v>
      </c>
      <c r="S6" s="10">
        <v>1</v>
      </c>
      <c r="T6" s="10">
        <v>0</v>
      </c>
      <c r="U6" s="10">
        <v>1</v>
      </c>
      <c r="V6" s="10">
        <v>12901</v>
      </c>
    </row>
    <row r="7" s="8" customFormat="1" spans="1:22">
      <c r="A7" s="14" t="s">
        <v>27</v>
      </c>
      <c r="B7" s="15">
        <v>-775</v>
      </c>
      <c r="C7" s="13">
        <v>1</v>
      </c>
      <c r="D7" s="10">
        <v>1</v>
      </c>
      <c r="E7" s="10">
        <v>1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1</v>
      </c>
      <c r="N7" s="10">
        <v>1</v>
      </c>
      <c r="O7" s="10">
        <v>0</v>
      </c>
      <c r="P7" s="10">
        <v>0</v>
      </c>
      <c r="Q7" s="10">
        <v>1</v>
      </c>
      <c r="R7" s="10">
        <v>1</v>
      </c>
      <c r="S7" s="10">
        <v>1</v>
      </c>
      <c r="T7" s="10">
        <v>0</v>
      </c>
      <c r="U7" s="10">
        <v>1</v>
      </c>
      <c r="V7" s="10">
        <v>12901</v>
      </c>
    </row>
    <row r="8" s="8" customFormat="1" spans="1:22">
      <c r="A8" s="14" t="s">
        <v>28</v>
      </c>
      <c r="B8" s="15">
        <v>-625</v>
      </c>
      <c r="C8" s="13">
        <v>1</v>
      </c>
      <c r="D8" s="10">
        <v>1</v>
      </c>
      <c r="E8" s="10">
        <v>0</v>
      </c>
      <c r="F8" s="10">
        <v>1</v>
      </c>
      <c r="G8" s="10">
        <v>1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1</v>
      </c>
      <c r="O8" s="10">
        <v>0</v>
      </c>
      <c r="P8" s="10">
        <v>0</v>
      </c>
      <c r="Q8" s="10">
        <v>0</v>
      </c>
      <c r="R8" s="10">
        <v>1</v>
      </c>
      <c r="S8" s="10">
        <v>1</v>
      </c>
      <c r="T8" s="10">
        <v>0</v>
      </c>
      <c r="U8" s="10">
        <v>1</v>
      </c>
      <c r="V8" s="10">
        <v>13401</v>
      </c>
    </row>
    <row r="9" s="8" customFormat="1" spans="1:22">
      <c r="A9" s="14" t="s">
        <v>29</v>
      </c>
      <c r="B9" s="15">
        <v>-425</v>
      </c>
      <c r="C9" s="13">
        <v>1</v>
      </c>
      <c r="D9" s="10">
        <v>1</v>
      </c>
      <c r="E9" s="10">
        <v>0</v>
      </c>
      <c r="F9" s="10">
        <v>0</v>
      </c>
      <c r="G9" s="10">
        <v>0</v>
      </c>
      <c r="H9" s="10">
        <v>1</v>
      </c>
      <c r="I9" s="10">
        <v>0</v>
      </c>
      <c r="J9" s="10">
        <v>0</v>
      </c>
      <c r="K9" s="10">
        <v>1</v>
      </c>
      <c r="L9" s="10">
        <v>0</v>
      </c>
      <c r="M9" s="10">
        <v>1</v>
      </c>
      <c r="N9" s="10">
        <v>0</v>
      </c>
      <c r="O9" s="10">
        <v>0</v>
      </c>
      <c r="P9" s="10">
        <v>1</v>
      </c>
      <c r="Q9" s="10">
        <v>1</v>
      </c>
      <c r="R9" s="10">
        <v>0</v>
      </c>
      <c r="S9" s="10">
        <v>1</v>
      </c>
      <c r="T9" s="10">
        <v>0</v>
      </c>
      <c r="U9" s="10">
        <v>1</v>
      </c>
      <c r="V9" s="10">
        <v>11901</v>
      </c>
    </row>
    <row r="10" s="8" customFormat="1" spans="1:22">
      <c r="A10" s="14" t="s">
        <v>30</v>
      </c>
      <c r="B10" s="15">
        <v>-100</v>
      </c>
      <c r="C10" s="13">
        <v>1</v>
      </c>
      <c r="D10" s="10">
        <v>1</v>
      </c>
      <c r="E10" s="10">
        <v>1</v>
      </c>
      <c r="F10" s="10">
        <v>1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1</v>
      </c>
      <c r="N10" s="10">
        <v>0</v>
      </c>
      <c r="O10" s="10">
        <v>0</v>
      </c>
      <c r="P10" s="10">
        <v>1</v>
      </c>
      <c r="Q10" s="10">
        <v>0</v>
      </c>
      <c r="R10" s="10">
        <v>0</v>
      </c>
      <c r="S10" s="10">
        <v>0</v>
      </c>
      <c r="T10" s="10">
        <v>1</v>
      </c>
      <c r="U10" s="10">
        <v>1</v>
      </c>
      <c r="V10" s="10">
        <v>11901</v>
      </c>
    </row>
    <row r="11" s="8" customFormat="1" spans="1:22">
      <c r="A11" s="14" t="s">
        <v>31</v>
      </c>
      <c r="B11" s="15">
        <v>-975</v>
      </c>
      <c r="C11" s="13">
        <v>1</v>
      </c>
      <c r="D11" s="10">
        <v>0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0</v>
      </c>
      <c r="K11" s="10">
        <v>1</v>
      </c>
      <c r="L11" s="10">
        <v>0</v>
      </c>
      <c r="M11" s="10">
        <v>1</v>
      </c>
      <c r="N11" s="10">
        <v>1</v>
      </c>
      <c r="O11" s="10">
        <v>0</v>
      </c>
      <c r="P11" s="10">
        <v>1</v>
      </c>
      <c r="Q11" s="10">
        <v>0</v>
      </c>
      <c r="R11" s="10">
        <v>1</v>
      </c>
      <c r="S11" s="10">
        <v>1</v>
      </c>
      <c r="T11" s="10">
        <v>0</v>
      </c>
      <c r="U11" s="10">
        <v>1</v>
      </c>
      <c r="V11" s="10">
        <v>11901</v>
      </c>
    </row>
    <row r="12" s="8" customFormat="1" spans="1:22">
      <c r="A12" s="14" t="s">
        <v>32</v>
      </c>
      <c r="B12" s="15">
        <v>-225</v>
      </c>
      <c r="C12" s="13">
        <v>1</v>
      </c>
      <c r="D12" s="10">
        <v>0</v>
      </c>
      <c r="E12" s="10">
        <v>0</v>
      </c>
      <c r="F12" s="10">
        <v>0</v>
      </c>
      <c r="G12" s="10">
        <v>1</v>
      </c>
      <c r="H12" s="10">
        <v>0</v>
      </c>
      <c r="I12" s="10">
        <v>0</v>
      </c>
      <c r="J12" s="10">
        <v>0</v>
      </c>
      <c r="K12" s="10">
        <v>1</v>
      </c>
      <c r="L12" s="10">
        <v>0</v>
      </c>
      <c r="M12" s="10">
        <v>0</v>
      </c>
      <c r="N12" s="10">
        <v>0</v>
      </c>
      <c r="O12" s="10">
        <v>0</v>
      </c>
      <c r="P12" s="10">
        <v>1</v>
      </c>
      <c r="Q12" s="10">
        <v>0</v>
      </c>
      <c r="R12" s="10">
        <v>1</v>
      </c>
      <c r="S12" s="10">
        <v>1</v>
      </c>
      <c r="T12" s="10">
        <v>1</v>
      </c>
      <c r="U12" s="10">
        <v>1</v>
      </c>
      <c r="V12" s="10">
        <v>12901</v>
      </c>
    </row>
    <row r="13" s="8" customFormat="1" spans="1:22">
      <c r="A13" s="14" t="s">
        <v>33</v>
      </c>
      <c r="B13" s="15">
        <v>-1000</v>
      </c>
      <c r="C13" s="13">
        <v>1</v>
      </c>
      <c r="D13" s="10">
        <v>0</v>
      </c>
      <c r="E13" s="10">
        <v>0</v>
      </c>
      <c r="F13" s="10">
        <v>1</v>
      </c>
      <c r="G13" s="10">
        <v>0</v>
      </c>
      <c r="H13" s="10">
        <v>1</v>
      </c>
      <c r="I13" s="10">
        <v>0</v>
      </c>
      <c r="J13" s="10">
        <v>0</v>
      </c>
      <c r="K13" s="10">
        <v>0</v>
      </c>
      <c r="L13" s="10">
        <v>0</v>
      </c>
      <c r="M13" s="10">
        <v>1</v>
      </c>
      <c r="N13" s="10">
        <v>0</v>
      </c>
      <c r="O13" s="10">
        <v>0</v>
      </c>
      <c r="P13" s="10">
        <v>0</v>
      </c>
      <c r="Q13" s="10">
        <v>1</v>
      </c>
      <c r="R13" s="10">
        <v>0</v>
      </c>
      <c r="S13" s="10">
        <v>1</v>
      </c>
      <c r="T13" s="10">
        <v>1</v>
      </c>
      <c r="U13" s="10">
        <v>1</v>
      </c>
      <c r="V13" s="10">
        <v>9401</v>
      </c>
    </row>
    <row r="14" s="8" customFormat="1" spans="1:22">
      <c r="A14" s="14" t="s">
        <v>34</v>
      </c>
      <c r="B14" s="15">
        <v>-450</v>
      </c>
      <c r="C14" s="13">
        <v>1</v>
      </c>
      <c r="D14" s="10">
        <v>0</v>
      </c>
      <c r="E14" s="10">
        <v>0</v>
      </c>
      <c r="F14" s="10">
        <v>1</v>
      </c>
      <c r="G14" s="10">
        <v>1</v>
      </c>
      <c r="H14" s="10">
        <v>1</v>
      </c>
      <c r="I14" s="10">
        <v>0</v>
      </c>
      <c r="J14" s="10">
        <v>0</v>
      </c>
      <c r="K14" s="10">
        <v>0</v>
      </c>
      <c r="L14" s="10">
        <v>0</v>
      </c>
      <c r="M14" s="10">
        <v>1</v>
      </c>
      <c r="N14" s="10">
        <v>0</v>
      </c>
      <c r="O14" s="10">
        <v>0</v>
      </c>
      <c r="P14" s="10">
        <v>0</v>
      </c>
      <c r="Q14" s="10">
        <v>1</v>
      </c>
      <c r="R14" s="10">
        <v>0</v>
      </c>
      <c r="S14" s="10">
        <v>1</v>
      </c>
      <c r="T14" s="10">
        <v>1</v>
      </c>
      <c r="U14" s="10">
        <v>1</v>
      </c>
      <c r="V14" s="10">
        <v>12901</v>
      </c>
    </row>
    <row r="15" s="8" customFormat="1" ht="14.25" spans="1:22">
      <c r="A15" s="16" t="s">
        <v>35</v>
      </c>
      <c r="B15" s="17">
        <v>-925</v>
      </c>
      <c r="C15" s="13">
        <v>1</v>
      </c>
      <c r="D15" s="10">
        <v>0</v>
      </c>
      <c r="E15" s="10">
        <v>0</v>
      </c>
      <c r="F15" s="10">
        <v>1</v>
      </c>
      <c r="G15" s="10">
        <v>0</v>
      </c>
      <c r="H15" s="10">
        <v>1</v>
      </c>
      <c r="I15" s="10">
        <v>0</v>
      </c>
      <c r="J15" s="10">
        <v>0</v>
      </c>
      <c r="K15" s="10">
        <v>1</v>
      </c>
      <c r="L15" s="10">
        <v>0</v>
      </c>
      <c r="M15" s="10">
        <v>0</v>
      </c>
      <c r="N15" s="10">
        <v>1</v>
      </c>
      <c r="O15" s="10">
        <v>0</v>
      </c>
      <c r="P15" s="10">
        <v>1</v>
      </c>
      <c r="Q15" s="10">
        <v>0</v>
      </c>
      <c r="R15" s="10">
        <v>1</v>
      </c>
      <c r="S15" s="10">
        <v>1</v>
      </c>
      <c r="T15" s="10">
        <v>0</v>
      </c>
      <c r="U15" s="10">
        <v>1</v>
      </c>
      <c r="V15" s="10">
        <v>12901</v>
      </c>
    </row>
    <row r="16" s="8" customFormat="1" spans="1:22">
      <c r="A16" s="11" t="s">
        <v>22</v>
      </c>
      <c r="B16" s="12">
        <v>475</v>
      </c>
      <c r="C16" s="13">
        <v>1</v>
      </c>
      <c r="D16" s="10">
        <v>1</v>
      </c>
      <c r="E16" s="10">
        <v>0</v>
      </c>
      <c r="F16" s="10">
        <v>1</v>
      </c>
      <c r="G16" s="10">
        <v>1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1</v>
      </c>
      <c r="N16" s="10">
        <v>1</v>
      </c>
      <c r="O16" s="10">
        <v>0</v>
      </c>
      <c r="P16" s="10">
        <v>0</v>
      </c>
      <c r="Q16" s="10">
        <v>1</v>
      </c>
      <c r="R16" s="10">
        <v>0</v>
      </c>
      <c r="S16" s="10">
        <v>1</v>
      </c>
      <c r="T16" s="10">
        <v>1</v>
      </c>
      <c r="U16" s="10">
        <v>0</v>
      </c>
      <c r="V16" s="10">
        <v>13901</v>
      </c>
    </row>
    <row r="17" s="8" customFormat="1" spans="1:22">
      <c r="A17" s="14" t="s">
        <v>23</v>
      </c>
      <c r="B17" s="15">
        <v>1700</v>
      </c>
      <c r="C17" s="13">
        <v>1</v>
      </c>
      <c r="D17" s="10">
        <v>1</v>
      </c>
      <c r="E17" s="10">
        <v>1</v>
      </c>
      <c r="F17" s="10">
        <v>1</v>
      </c>
      <c r="G17" s="10">
        <v>1</v>
      </c>
      <c r="H17" s="10">
        <v>0</v>
      </c>
      <c r="I17" s="10">
        <v>0</v>
      </c>
      <c r="J17" s="10">
        <v>0</v>
      </c>
      <c r="K17" s="10">
        <v>1</v>
      </c>
      <c r="L17" s="10">
        <v>0</v>
      </c>
      <c r="M17" s="10">
        <v>1</v>
      </c>
      <c r="N17" s="10">
        <v>0</v>
      </c>
      <c r="O17" s="10">
        <v>0</v>
      </c>
      <c r="P17" s="10">
        <v>1</v>
      </c>
      <c r="Q17" s="10">
        <v>0</v>
      </c>
      <c r="R17" s="10">
        <v>1</v>
      </c>
      <c r="S17" s="10">
        <v>1</v>
      </c>
      <c r="T17" s="10">
        <v>0</v>
      </c>
      <c r="U17" s="10">
        <v>0</v>
      </c>
      <c r="V17" s="10">
        <v>17401</v>
      </c>
    </row>
    <row r="18" s="8" customFormat="1" spans="1:22">
      <c r="A18" s="14" t="s">
        <v>24</v>
      </c>
      <c r="B18" s="15">
        <v>700</v>
      </c>
      <c r="C18" s="13">
        <v>1</v>
      </c>
      <c r="D18" s="10">
        <v>0</v>
      </c>
      <c r="E18" s="10">
        <v>1</v>
      </c>
      <c r="F18" s="10">
        <v>0</v>
      </c>
      <c r="G18" s="10">
        <v>1</v>
      </c>
      <c r="H18" s="10">
        <v>1</v>
      </c>
      <c r="I18" s="10">
        <v>0</v>
      </c>
      <c r="J18" s="10">
        <v>0</v>
      </c>
      <c r="K18" s="10">
        <v>0</v>
      </c>
      <c r="L18" s="10">
        <v>0</v>
      </c>
      <c r="M18" s="10">
        <v>1</v>
      </c>
      <c r="N18" s="10">
        <v>1</v>
      </c>
      <c r="O18" s="10">
        <v>0</v>
      </c>
      <c r="P18" s="10">
        <v>0</v>
      </c>
      <c r="Q18" s="10">
        <v>1</v>
      </c>
      <c r="R18" s="10">
        <v>1</v>
      </c>
      <c r="S18" s="10">
        <v>1</v>
      </c>
      <c r="T18" s="10">
        <v>0</v>
      </c>
      <c r="U18" s="10">
        <v>0</v>
      </c>
      <c r="V18" s="10">
        <v>15401</v>
      </c>
    </row>
    <row r="19" s="8" customFormat="1" spans="1:22">
      <c r="A19" s="14" t="s">
        <v>25</v>
      </c>
      <c r="B19" s="15">
        <v>500</v>
      </c>
      <c r="C19" s="13">
        <v>1</v>
      </c>
      <c r="D19" s="10">
        <v>0</v>
      </c>
      <c r="E19" s="10">
        <v>1</v>
      </c>
      <c r="F19" s="10">
        <v>1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1</v>
      </c>
      <c r="N19" s="10">
        <v>1</v>
      </c>
      <c r="O19" s="10">
        <v>0</v>
      </c>
      <c r="P19" s="10">
        <v>1</v>
      </c>
      <c r="Q19" s="10">
        <v>0</v>
      </c>
      <c r="R19" s="10">
        <v>1</v>
      </c>
      <c r="S19" s="10">
        <v>0</v>
      </c>
      <c r="T19" s="10">
        <v>1</v>
      </c>
      <c r="U19" s="10">
        <v>0</v>
      </c>
      <c r="V19" s="10">
        <v>11901</v>
      </c>
    </row>
    <row r="20" s="8" customFormat="1" spans="1:22">
      <c r="A20" s="14" t="s">
        <v>26</v>
      </c>
      <c r="B20" s="15">
        <v>1425</v>
      </c>
      <c r="C20" s="13">
        <v>1</v>
      </c>
      <c r="D20" s="10">
        <v>0</v>
      </c>
      <c r="E20" s="10">
        <v>1</v>
      </c>
      <c r="F20" s="10">
        <v>1</v>
      </c>
      <c r="G20" s="10">
        <v>1</v>
      </c>
      <c r="H20" s="10">
        <v>0</v>
      </c>
      <c r="I20" s="10">
        <v>0</v>
      </c>
      <c r="J20" s="10">
        <v>0</v>
      </c>
      <c r="K20" s="10">
        <v>1</v>
      </c>
      <c r="L20" s="10">
        <v>0</v>
      </c>
      <c r="M20" s="10">
        <v>0</v>
      </c>
      <c r="N20" s="10">
        <v>0</v>
      </c>
      <c r="O20" s="10">
        <v>0</v>
      </c>
      <c r="P20" s="10">
        <v>1</v>
      </c>
      <c r="Q20" s="10">
        <v>0</v>
      </c>
      <c r="R20" s="10">
        <v>1</v>
      </c>
      <c r="S20" s="10">
        <v>0</v>
      </c>
      <c r="T20" s="10">
        <v>1</v>
      </c>
      <c r="U20" s="10">
        <v>0</v>
      </c>
      <c r="V20" s="10">
        <v>14401</v>
      </c>
    </row>
    <row r="21" s="8" customFormat="1" spans="1:22">
      <c r="A21" s="14" t="s">
        <v>27</v>
      </c>
      <c r="B21" s="15">
        <v>750</v>
      </c>
      <c r="C21" s="13">
        <v>1</v>
      </c>
      <c r="D21" s="10">
        <v>0</v>
      </c>
      <c r="E21" s="10">
        <v>1</v>
      </c>
      <c r="F21" s="10">
        <v>1</v>
      </c>
      <c r="G21" s="10">
        <v>0</v>
      </c>
      <c r="H21" s="10">
        <v>1</v>
      </c>
      <c r="I21" s="10">
        <v>0</v>
      </c>
      <c r="J21" s="10">
        <v>0</v>
      </c>
      <c r="K21" s="10">
        <v>0</v>
      </c>
      <c r="L21" s="10">
        <v>0</v>
      </c>
      <c r="M21" s="10">
        <v>1</v>
      </c>
      <c r="N21" s="10">
        <v>0</v>
      </c>
      <c r="O21" s="10">
        <v>0</v>
      </c>
      <c r="P21" s="10">
        <v>1</v>
      </c>
      <c r="Q21" s="10">
        <v>0</v>
      </c>
      <c r="R21" s="10">
        <v>0</v>
      </c>
      <c r="S21" s="10">
        <v>1</v>
      </c>
      <c r="T21" s="10">
        <v>1</v>
      </c>
      <c r="U21" s="10">
        <v>0</v>
      </c>
      <c r="V21" s="10">
        <v>12401</v>
      </c>
    </row>
    <row r="22" s="8" customFormat="1" spans="1:22">
      <c r="A22" s="14" t="s">
        <v>28</v>
      </c>
      <c r="B22" s="15">
        <v>625</v>
      </c>
      <c r="C22" s="13">
        <v>1</v>
      </c>
      <c r="D22" s="10">
        <v>1</v>
      </c>
      <c r="E22" s="10">
        <v>1</v>
      </c>
      <c r="F22" s="10">
        <v>1</v>
      </c>
      <c r="G22" s="10">
        <v>1</v>
      </c>
      <c r="H22" s="10">
        <v>1</v>
      </c>
      <c r="I22" s="10">
        <v>0</v>
      </c>
      <c r="J22" s="10">
        <v>0</v>
      </c>
      <c r="K22" s="10">
        <v>1</v>
      </c>
      <c r="L22" s="10">
        <v>0</v>
      </c>
      <c r="M22" s="10">
        <v>0</v>
      </c>
      <c r="N22" s="10">
        <v>0</v>
      </c>
      <c r="O22" s="10">
        <v>0</v>
      </c>
      <c r="P22" s="10">
        <v>1</v>
      </c>
      <c r="Q22" s="10">
        <v>0</v>
      </c>
      <c r="R22" s="10">
        <v>0</v>
      </c>
      <c r="S22" s="10">
        <v>0</v>
      </c>
      <c r="T22" s="10">
        <v>1</v>
      </c>
      <c r="U22" s="10">
        <v>0</v>
      </c>
      <c r="V22" s="10">
        <v>17401</v>
      </c>
    </row>
    <row r="23" s="8" customFormat="1" spans="1:22">
      <c r="A23" s="14" t="s">
        <v>29</v>
      </c>
      <c r="B23" s="15">
        <v>1850</v>
      </c>
      <c r="C23" s="13">
        <v>1</v>
      </c>
      <c r="D23" s="10">
        <v>0</v>
      </c>
      <c r="E23" s="10">
        <v>1</v>
      </c>
      <c r="F23" s="10">
        <v>0</v>
      </c>
      <c r="G23" s="10">
        <v>1</v>
      </c>
      <c r="H23" s="10">
        <v>0</v>
      </c>
      <c r="I23" s="10">
        <v>0</v>
      </c>
      <c r="J23" s="10">
        <v>0</v>
      </c>
      <c r="K23" s="10">
        <v>1</v>
      </c>
      <c r="L23" s="10">
        <v>0</v>
      </c>
      <c r="M23" s="10">
        <v>1</v>
      </c>
      <c r="N23" s="10">
        <v>0</v>
      </c>
      <c r="O23" s="10">
        <v>0</v>
      </c>
      <c r="P23" s="10">
        <v>1</v>
      </c>
      <c r="Q23" s="10">
        <v>0</v>
      </c>
      <c r="R23" s="10">
        <v>1</v>
      </c>
      <c r="S23" s="10">
        <v>1</v>
      </c>
      <c r="T23" s="10">
        <v>0</v>
      </c>
      <c r="U23" s="10">
        <v>0</v>
      </c>
      <c r="V23" s="10">
        <v>14401</v>
      </c>
    </row>
    <row r="24" s="8" customFormat="1" spans="1:22">
      <c r="A24" s="14" t="s">
        <v>30</v>
      </c>
      <c r="B24" s="15">
        <v>150</v>
      </c>
      <c r="C24" s="13">
        <v>1</v>
      </c>
      <c r="D24" s="10">
        <v>1</v>
      </c>
      <c r="E24" s="10">
        <v>0</v>
      </c>
      <c r="F24" s="10">
        <v>0</v>
      </c>
      <c r="G24" s="10">
        <v>1</v>
      </c>
      <c r="H24" s="10">
        <v>0</v>
      </c>
      <c r="I24" s="10">
        <v>0</v>
      </c>
      <c r="J24" s="10">
        <v>0</v>
      </c>
      <c r="K24" s="10">
        <v>1</v>
      </c>
      <c r="L24" s="10">
        <v>0</v>
      </c>
      <c r="M24" s="10">
        <v>0</v>
      </c>
      <c r="N24" s="10">
        <v>1</v>
      </c>
      <c r="O24" s="10">
        <v>0</v>
      </c>
      <c r="P24" s="10">
        <v>1</v>
      </c>
      <c r="Q24" s="10">
        <v>1</v>
      </c>
      <c r="R24" s="10">
        <v>1</v>
      </c>
      <c r="S24" s="10">
        <v>0</v>
      </c>
      <c r="T24" s="10">
        <v>1</v>
      </c>
      <c r="U24" s="10">
        <v>0</v>
      </c>
      <c r="V24" s="10">
        <v>14401</v>
      </c>
    </row>
    <row r="25" s="8" customFormat="1" spans="1:22">
      <c r="A25" s="14" t="s">
        <v>31</v>
      </c>
      <c r="B25" s="15">
        <v>1300</v>
      </c>
      <c r="C25" s="13">
        <v>1</v>
      </c>
      <c r="D25" s="10">
        <v>1</v>
      </c>
      <c r="E25" s="10">
        <v>0</v>
      </c>
      <c r="F25" s="10">
        <v>1</v>
      </c>
      <c r="G25" s="10">
        <v>1</v>
      </c>
      <c r="H25" s="10">
        <v>1</v>
      </c>
      <c r="I25" s="10">
        <v>0</v>
      </c>
      <c r="J25" s="10">
        <v>0</v>
      </c>
      <c r="K25" s="10">
        <v>0</v>
      </c>
      <c r="L25" s="10">
        <v>0</v>
      </c>
      <c r="M25" s="10">
        <v>1</v>
      </c>
      <c r="N25" s="10">
        <v>0</v>
      </c>
      <c r="O25" s="10">
        <v>0</v>
      </c>
      <c r="P25" s="10">
        <v>0</v>
      </c>
      <c r="Q25" s="10">
        <v>0</v>
      </c>
      <c r="R25" s="10">
        <v>1</v>
      </c>
      <c r="S25" s="10">
        <v>1</v>
      </c>
      <c r="T25" s="10">
        <v>1</v>
      </c>
      <c r="U25" s="10">
        <v>0</v>
      </c>
      <c r="V25" s="10">
        <v>14901</v>
      </c>
    </row>
    <row r="26" s="8" customFormat="1" spans="1:22">
      <c r="A26" s="14" t="s">
        <v>32</v>
      </c>
      <c r="B26" s="15">
        <v>550</v>
      </c>
      <c r="C26" s="13">
        <v>1</v>
      </c>
      <c r="D26" s="10">
        <v>1</v>
      </c>
      <c r="E26" s="10">
        <v>1</v>
      </c>
      <c r="F26" s="10">
        <v>1</v>
      </c>
      <c r="G26" s="10">
        <v>1</v>
      </c>
      <c r="H26" s="10">
        <v>1</v>
      </c>
      <c r="I26" s="10">
        <v>0</v>
      </c>
      <c r="J26" s="10">
        <v>0</v>
      </c>
      <c r="K26" s="10">
        <v>1</v>
      </c>
      <c r="L26" s="10">
        <v>0</v>
      </c>
      <c r="M26" s="10">
        <v>0</v>
      </c>
      <c r="N26" s="10">
        <v>1</v>
      </c>
      <c r="O26" s="10">
        <v>0</v>
      </c>
      <c r="P26" s="10">
        <v>1</v>
      </c>
      <c r="Q26" s="10">
        <v>1</v>
      </c>
      <c r="R26" s="10">
        <v>0</v>
      </c>
      <c r="S26" s="10">
        <v>0</v>
      </c>
      <c r="T26" s="10">
        <v>0</v>
      </c>
      <c r="U26" s="10">
        <v>0</v>
      </c>
      <c r="V26" s="10">
        <v>17901</v>
      </c>
    </row>
    <row r="27" s="8" customFormat="1" ht="14.25" spans="1:22">
      <c r="A27" s="16" t="s">
        <v>33</v>
      </c>
      <c r="B27" s="17">
        <v>550</v>
      </c>
      <c r="C27" s="13">
        <v>1</v>
      </c>
      <c r="D27" s="10">
        <v>0</v>
      </c>
      <c r="E27" s="10">
        <v>1</v>
      </c>
      <c r="F27" s="10">
        <v>1</v>
      </c>
      <c r="G27" s="10">
        <v>1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1</v>
      </c>
      <c r="N27" s="10">
        <v>1</v>
      </c>
      <c r="O27" s="10">
        <v>0</v>
      </c>
      <c r="P27" s="10">
        <v>1</v>
      </c>
      <c r="Q27" s="10">
        <v>1</v>
      </c>
      <c r="R27" s="10">
        <v>1</v>
      </c>
      <c r="S27" s="10">
        <v>1</v>
      </c>
      <c r="T27" s="10">
        <v>0</v>
      </c>
      <c r="U27" s="10">
        <v>0</v>
      </c>
      <c r="V27" s="10">
        <v>15401</v>
      </c>
    </row>
    <row r="28" spans="1:22">
      <c r="A28" s="11" t="s">
        <v>22</v>
      </c>
      <c r="B28" s="12">
        <v>-425</v>
      </c>
      <c r="C28" s="13">
        <v>1</v>
      </c>
      <c r="D28" s="10">
        <v>0</v>
      </c>
      <c r="E28" s="10">
        <v>0</v>
      </c>
      <c r="F28" s="10">
        <v>1</v>
      </c>
      <c r="G28" s="10">
        <v>1</v>
      </c>
      <c r="H28" s="10">
        <v>1</v>
      </c>
      <c r="I28" s="10">
        <v>0</v>
      </c>
      <c r="J28" s="10">
        <v>0</v>
      </c>
      <c r="K28" s="10">
        <v>0</v>
      </c>
      <c r="L28" s="10">
        <v>0</v>
      </c>
      <c r="M28" s="10">
        <v>1</v>
      </c>
      <c r="N28" s="10">
        <v>1</v>
      </c>
      <c r="O28" s="10">
        <v>0</v>
      </c>
      <c r="P28" s="10">
        <v>1</v>
      </c>
      <c r="Q28" s="10">
        <v>0</v>
      </c>
      <c r="R28" s="10">
        <v>0</v>
      </c>
      <c r="S28" s="10">
        <v>0</v>
      </c>
      <c r="T28" s="10">
        <v>1</v>
      </c>
      <c r="U28" s="10">
        <v>1</v>
      </c>
      <c r="V28" s="10">
        <v>14401</v>
      </c>
    </row>
    <row r="29" spans="1:22">
      <c r="A29" s="14" t="s">
        <v>23</v>
      </c>
      <c r="B29" s="15">
        <v>-75</v>
      </c>
      <c r="C29" s="13">
        <v>1</v>
      </c>
      <c r="D29" s="10">
        <v>0</v>
      </c>
      <c r="E29" s="10">
        <v>0</v>
      </c>
      <c r="F29" s="10">
        <v>1</v>
      </c>
      <c r="G29" s="10">
        <v>1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1</v>
      </c>
      <c r="N29" s="10">
        <v>0</v>
      </c>
      <c r="O29" s="10">
        <v>0</v>
      </c>
      <c r="P29" s="10">
        <v>1</v>
      </c>
      <c r="Q29" s="10">
        <v>1</v>
      </c>
      <c r="R29" s="10">
        <v>0</v>
      </c>
      <c r="S29" s="10">
        <v>1</v>
      </c>
      <c r="T29" s="10">
        <v>1</v>
      </c>
      <c r="U29" s="10">
        <v>1</v>
      </c>
      <c r="V29" s="10">
        <v>11901</v>
      </c>
    </row>
    <row r="30" spans="1:22">
      <c r="A30" s="14" t="s">
        <v>24</v>
      </c>
      <c r="B30" s="15">
        <v>725</v>
      </c>
      <c r="C30" s="13">
        <v>1</v>
      </c>
      <c r="D30" s="10">
        <v>1</v>
      </c>
      <c r="E30" s="10">
        <v>1</v>
      </c>
      <c r="F30" s="10">
        <v>1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1</v>
      </c>
      <c r="N30" s="10">
        <v>1</v>
      </c>
      <c r="O30" s="10">
        <v>0</v>
      </c>
      <c r="P30" s="10">
        <v>0</v>
      </c>
      <c r="Q30" s="10">
        <v>0</v>
      </c>
      <c r="R30" s="10">
        <v>1</v>
      </c>
      <c r="S30" s="10">
        <v>1</v>
      </c>
      <c r="T30" s="10">
        <v>0</v>
      </c>
      <c r="U30" s="10">
        <v>0</v>
      </c>
      <c r="V30" s="10">
        <v>12901</v>
      </c>
    </row>
    <row r="31" spans="1:22">
      <c r="A31" s="14" t="s">
        <v>25</v>
      </c>
      <c r="B31" s="15">
        <v>125</v>
      </c>
      <c r="C31" s="13">
        <v>1</v>
      </c>
      <c r="D31" s="10">
        <v>1</v>
      </c>
      <c r="E31" s="10">
        <v>1</v>
      </c>
      <c r="F31" s="10">
        <v>0</v>
      </c>
      <c r="G31" s="10">
        <v>1</v>
      </c>
      <c r="H31" s="10">
        <v>0</v>
      </c>
      <c r="I31" s="10">
        <v>0</v>
      </c>
      <c r="J31" s="10">
        <v>0</v>
      </c>
      <c r="K31" s="10">
        <v>1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1</v>
      </c>
      <c r="R31" s="10">
        <v>1</v>
      </c>
      <c r="S31" s="10">
        <v>1</v>
      </c>
      <c r="T31" s="10">
        <v>0</v>
      </c>
      <c r="U31" s="10">
        <v>1</v>
      </c>
      <c r="V31" s="10">
        <v>15401</v>
      </c>
    </row>
    <row r="32" spans="1:22">
      <c r="A32" s="14" t="s">
        <v>26</v>
      </c>
      <c r="B32" s="15">
        <v>575</v>
      </c>
      <c r="C32" s="13">
        <v>0</v>
      </c>
      <c r="D32" s="10">
        <v>1</v>
      </c>
      <c r="E32" s="10">
        <v>1</v>
      </c>
      <c r="F32" s="10">
        <v>1</v>
      </c>
      <c r="G32" s="10">
        <v>1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1</v>
      </c>
      <c r="N32" s="10">
        <v>1</v>
      </c>
      <c r="O32" s="10">
        <v>0</v>
      </c>
      <c r="P32" s="10">
        <v>1</v>
      </c>
      <c r="Q32" s="10">
        <v>0</v>
      </c>
      <c r="R32" s="10">
        <v>0</v>
      </c>
      <c r="S32" s="10">
        <v>1</v>
      </c>
      <c r="T32" s="10">
        <v>0</v>
      </c>
      <c r="U32" s="10">
        <v>0</v>
      </c>
      <c r="V32" s="10">
        <v>15401</v>
      </c>
    </row>
    <row r="33" spans="1:22">
      <c r="A33" s="14" t="s">
        <v>27</v>
      </c>
      <c r="B33" s="15">
        <v>850</v>
      </c>
      <c r="C33" s="13">
        <v>1</v>
      </c>
      <c r="D33" s="10">
        <v>1</v>
      </c>
      <c r="E33" s="10">
        <v>1</v>
      </c>
      <c r="F33" s="10">
        <v>0</v>
      </c>
      <c r="G33" s="10">
        <v>1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1</v>
      </c>
      <c r="O33" s="10">
        <v>0</v>
      </c>
      <c r="P33" s="10">
        <v>0</v>
      </c>
      <c r="Q33" s="10">
        <v>1</v>
      </c>
      <c r="R33" s="10">
        <v>1</v>
      </c>
      <c r="S33" s="10">
        <v>1</v>
      </c>
      <c r="T33" s="10">
        <v>0</v>
      </c>
      <c r="U33" s="10">
        <v>0</v>
      </c>
      <c r="V33" s="10">
        <v>14401</v>
      </c>
    </row>
    <row r="34" spans="1:22">
      <c r="A34" s="14" t="s">
        <v>28</v>
      </c>
      <c r="B34" s="15">
        <v>925</v>
      </c>
      <c r="C34" s="13">
        <v>1</v>
      </c>
      <c r="D34" s="10">
        <v>0</v>
      </c>
      <c r="E34" s="10">
        <v>1</v>
      </c>
      <c r="F34" s="10">
        <v>0</v>
      </c>
      <c r="G34" s="10">
        <v>1</v>
      </c>
      <c r="H34" s="10">
        <v>1</v>
      </c>
      <c r="I34" s="10">
        <v>0</v>
      </c>
      <c r="J34" s="10">
        <v>0</v>
      </c>
      <c r="K34" s="10">
        <v>1</v>
      </c>
      <c r="L34" s="10">
        <v>0</v>
      </c>
      <c r="M34" s="10">
        <v>0</v>
      </c>
      <c r="N34" s="10">
        <v>0</v>
      </c>
      <c r="O34" s="10">
        <v>0</v>
      </c>
      <c r="P34" s="10">
        <v>1</v>
      </c>
      <c r="Q34" s="10">
        <v>1</v>
      </c>
      <c r="R34" s="10">
        <v>1</v>
      </c>
      <c r="S34" s="10">
        <v>0</v>
      </c>
      <c r="T34" s="10">
        <v>1</v>
      </c>
      <c r="U34" s="10">
        <v>0</v>
      </c>
      <c r="V34" s="10">
        <v>15401</v>
      </c>
    </row>
    <row r="35" spans="1:22">
      <c r="A35" s="14" t="s">
        <v>29</v>
      </c>
      <c r="B35" s="15">
        <v>-725</v>
      </c>
      <c r="C35" s="13">
        <v>1</v>
      </c>
      <c r="D35" s="10">
        <v>1</v>
      </c>
      <c r="E35" s="10">
        <v>1</v>
      </c>
      <c r="F35" s="10">
        <v>1</v>
      </c>
      <c r="G35" s="10">
        <v>0</v>
      </c>
      <c r="H35" s="10">
        <v>1</v>
      </c>
      <c r="I35" s="10">
        <v>0</v>
      </c>
      <c r="J35" s="10">
        <v>0</v>
      </c>
      <c r="K35" s="10">
        <v>1</v>
      </c>
      <c r="L35" s="10">
        <v>0</v>
      </c>
      <c r="M35" s="10">
        <v>1</v>
      </c>
      <c r="N35" s="10">
        <v>1</v>
      </c>
      <c r="O35" s="10">
        <v>0</v>
      </c>
      <c r="P35" s="10">
        <v>0</v>
      </c>
      <c r="Q35" s="10">
        <v>0</v>
      </c>
      <c r="R35" s="10">
        <v>0</v>
      </c>
      <c r="S35" s="10">
        <v>1</v>
      </c>
      <c r="T35" s="10">
        <v>0</v>
      </c>
      <c r="U35" s="10">
        <v>1</v>
      </c>
      <c r="V35" s="10">
        <v>16901</v>
      </c>
    </row>
    <row r="36" spans="1:22">
      <c r="A36" s="14" t="s">
        <v>30</v>
      </c>
      <c r="B36" s="15">
        <v>1925</v>
      </c>
      <c r="C36" s="13">
        <v>1</v>
      </c>
      <c r="D36" s="10">
        <v>0</v>
      </c>
      <c r="E36" s="10">
        <v>1</v>
      </c>
      <c r="F36" s="10">
        <v>1</v>
      </c>
      <c r="G36" s="10">
        <v>0</v>
      </c>
      <c r="H36" s="10">
        <v>0</v>
      </c>
      <c r="I36" s="10">
        <v>0</v>
      </c>
      <c r="J36" s="10">
        <v>0</v>
      </c>
      <c r="K36" s="10">
        <v>1</v>
      </c>
      <c r="L36" s="10">
        <v>0</v>
      </c>
      <c r="M36" s="10">
        <v>1</v>
      </c>
      <c r="N36" s="10">
        <v>0</v>
      </c>
      <c r="O36" s="10">
        <v>0</v>
      </c>
      <c r="P36" s="10">
        <v>0</v>
      </c>
      <c r="Q36" s="10">
        <v>1</v>
      </c>
      <c r="R36" s="10">
        <v>1</v>
      </c>
      <c r="S36" s="10">
        <v>1</v>
      </c>
      <c r="T36" s="10">
        <v>0</v>
      </c>
      <c r="U36" s="10">
        <v>0</v>
      </c>
      <c r="V36" s="10">
        <v>10901</v>
      </c>
    </row>
    <row r="37" spans="1:22">
      <c r="A37" s="14" t="s">
        <v>31</v>
      </c>
      <c r="B37" s="15">
        <v>-550</v>
      </c>
      <c r="C37" s="13">
        <v>1</v>
      </c>
      <c r="D37" s="10">
        <v>1</v>
      </c>
      <c r="E37" s="10">
        <v>0</v>
      </c>
      <c r="F37" s="10">
        <v>0</v>
      </c>
      <c r="G37" s="10">
        <v>1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1</v>
      </c>
      <c r="N37" s="10">
        <v>1</v>
      </c>
      <c r="O37" s="10">
        <v>0</v>
      </c>
      <c r="P37" s="10">
        <v>1</v>
      </c>
      <c r="Q37" s="10">
        <v>1</v>
      </c>
      <c r="R37" s="10">
        <v>1</v>
      </c>
      <c r="S37" s="10">
        <v>0</v>
      </c>
      <c r="T37" s="10">
        <v>0</v>
      </c>
      <c r="U37" s="10">
        <v>1</v>
      </c>
      <c r="V37" s="10">
        <v>12901</v>
      </c>
    </row>
    <row r="38" spans="1:22">
      <c r="A38" s="14" t="s">
        <v>32</v>
      </c>
      <c r="B38" s="15">
        <v>-75</v>
      </c>
      <c r="C38" s="13">
        <v>1</v>
      </c>
      <c r="D38" s="10">
        <v>1</v>
      </c>
      <c r="E38" s="10">
        <v>1</v>
      </c>
      <c r="F38" s="10">
        <v>1</v>
      </c>
      <c r="G38" s="10">
        <v>0</v>
      </c>
      <c r="H38" s="10">
        <v>1</v>
      </c>
      <c r="I38" s="10">
        <v>0</v>
      </c>
      <c r="J38" s="10">
        <v>0</v>
      </c>
      <c r="K38" s="10">
        <v>1</v>
      </c>
      <c r="L38" s="10">
        <v>0</v>
      </c>
      <c r="M38" s="10">
        <v>1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1</v>
      </c>
      <c r="V38" s="10">
        <v>13401</v>
      </c>
    </row>
    <row r="39" spans="1:22">
      <c r="A39" s="14" t="s">
        <v>33</v>
      </c>
      <c r="B39" s="15">
        <v>1375</v>
      </c>
      <c r="C39" s="13">
        <v>1</v>
      </c>
      <c r="D39" s="10">
        <v>0</v>
      </c>
      <c r="E39" s="10">
        <v>1</v>
      </c>
      <c r="F39" s="10">
        <v>1</v>
      </c>
      <c r="G39" s="10">
        <v>1</v>
      </c>
      <c r="H39" s="10">
        <v>0</v>
      </c>
      <c r="I39" s="10">
        <v>0</v>
      </c>
      <c r="J39" s="10">
        <v>0</v>
      </c>
      <c r="K39" s="10">
        <v>1</v>
      </c>
      <c r="L39" s="10">
        <v>0</v>
      </c>
      <c r="M39" s="10">
        <v>0</v>
      </c>
      <c r="N39" s="10">
        <v>0</v>
      </c>
      <c r="O39" s="10">
        <v>0</v>
      </c>
      <c r="P39" s="10">
        <v>1</v>
      </c>
      <c r="Q39" s="10">
        <v>1</v>
      </c>
      <c r="R39" s="10">
        <v>1</v>
      </c>
      <c r="S39" s="10">
        <v>1</v>
      </c>
      <c r="T39" s="10">
        <v>1</v>
      </c>
      <c r="U39" s="10">
        <v>0</v>
      </c>
      <c r="V39" s="10">
        <v>15901</v>
      </c>
    </row>
    <row r="40" spans="1:22">
      <c r="A40" s="14" t="s">
        <v>34</v>
      </c>
      <c r="B40" s="15">
        <v>-800</v>
      </c>
      <c r="C40" s="13">
        <v>1</v>
      </c>
      <c r="D40" s="10">
        <v>1</v>
      </c>
      <c r="E40" s="10">
        <v>1</v>
      </c>
      <c r="F40" s="10">
        <v>1</v>
      </c>
      <c r="G40" s="10">
        <v>0</v>
      </c>
      <c r="H40" s="10">
        <v>1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1</v>
      </c>
      <c r="O40" s="10">
        <v>0</v>
      </c>
      <c r="P40" s="10">
        <v>1</v>
      </c>
      <c r="Q40" s="10">
        <v>1</v>
      </c>
      <c r="R40" s="10">
        <v>0</v>
      </c>
      <c r="S40" s="10">
        <v>1</v>
      </c>
      <c r="T40" s="10">
        <v>0</v>
      </c>
      <c r="U40" s="10">
        <v>1</v>
      </c>
      <c r="V40" s="10">
        <v>14901</v>
      </c>
    </row>
    <row r="41" spans="1:22">
      <c r="A41" s="14" t="s">
        <v>35</v>
      </c>
      <c r="B41" s="15">
        <v>-150</v>
      </c>
      <c r="C41" s="13">
        <v>1</v>
      </c>
      <c r="D41" s="10">
        <v>0</v>
      </c>
      <c r="E41" s="10">
        <v>1</v>
      </c>
      <c r="F41" s="10">
        <v>0</v>
      </c>
      <c r="G41" s="10">
        <v>1</v>
      </c>
      <c r="H41" s="10">
        <v>1</v>
      </c>
      <c r="I41" s="10">
        <v>0</v>
      </c>
      <c r="J41" s="10">
        <v>0</v>
      </c>
      <c r="K41" s="10">
        <v>1</v>
      </c>
      <c r="L41" s="10">
        <v>0</v>
      </c>
      <c r="M41" s="10">
        <v>0</v>
      </c>
      <c r="N41" s="10">
        <v>1</v>
      </c>
      <c r="O41" s="10">
        <v>0</v>
      </c>
      <c r="P41" s="10">
        <v>0</v>
      </c>
      <c r="Q41" s="10">
        <v>0</v>
      </c>
      <c r="R41" s="10">
        <v>1</v>
      </c>
      <c r="S41" s="10">
        <v>1</v>
      </c>
      <c r="T41" s="10">
        <v>1</v>
      </c>
      <c r="U41" s="10">
        <v>0</v>
      </c>
      <c r="V41" s="10">
        <v>17901</v>
      </c>
    </row>
    <row r="42" spans="1:22">
      <c r="A42" s="14" t="s">
        <v>36</v>
      </c>
      <c r="B42" s="15">
        <v>825</v>
      </c>
      <c r="C42" s="13">
        <v>1</v>
      </c>
      <c r="D42" s="10">
        <v>1</v>
      </c>
      <c r="E42" s="10">
        <v>0</v>
      </c>
      <c r="F42" s="10">
        <v>1</v>
      </c>
      <c r="G42" s="10">
        <v>1</v>
      </c>
      <c r="H42" s="10">
        <v>0</v>
      </c>
      <c r="I42" s="10">
        <v>0</v>
      </c>
      <c r="J42" s="10">
        <v>0</v>
      </c>
      <c r="K42" s="10">
        <v>1</v>
      </c>
      <c r="L42" s="10">
        <v>0</v>
      </c>
      <c r="M42" s="10">
        <v>1</v>
      </c>
      <c r="N42" s="10">
        <v>0</v>
      </c>
      <c r="O42" s="10">
        <v>0</v>
      </c>
      <c r="P42" s="10">
        <v>1</v>
      </c>
      <c r="Q42" s="10">
        <v>0</v>
      </c>
      <c r="R42" s="10">
        <v>1</v>
      </c>
      <c r="S42" s="10">
        <v>0</v>
      </c>
      <c r="T42" s="10">
        <v>1</v>
      </c>
      <c r="U42" s="10">
        <v>0</v>
      </c>
      <c r="V42" s="10">
        <v>14401</v>
      </c>
    </row>
    <row r="43" spans="1:22">
      <c r="A43" s="14" t="s">
        <v>37</v>
      </c>
      <c r="B43" s="15">
        <v>1550</v>
      </c>
      <c r="C43" s="13">
        <v>1</v>
      </c>
      <c r="D43" s="10">
        <v>0</v>
      </c>
      <c r="E43" s="10">
        <v>1</v>
      </c>
      <c r="F43" s="10">
        <v>1</v>
      </c>
      <c r="G43" s="10">
        <v>1</v>
      </c>
      <c r="H43" s="10">
        <v>0</v>
      </c>
      <c r="I43" s="10">
        <v>0</v>
      </c>
      <c r="J43" s="10">
        <v>0</v>
      </c>
      <c r="K43" s="10">
        <v>1</v>
      </c>
      <c r="L43" s="10">
        <v>0</v>
      </c>
      <c r="M43" s="10">
        <v>1</v>
      </c>
      <c r="N43" s="10">
        <v>0</v>
      </c>
      <c r="O43" s="10">
        <v>0</v>
      </c>
      <c r="P43" s="10">
        <v>1</v>
      </c>
      <c r="Q43" s="10">
        <v>0</v>
      </c>
      <c r="R43" s="10">
        <v>0</v>
      </c>
      <c r="S43" s="10">
        <v>0</v>
      </c>
      <c r="T43" s="10">
        <v>1</v>
      </c>
      <c r="U43" s="10">
        <v>0</v>
      </c>
      <c r="V43" s="10">
        <v>14401</v>
      </c>
    </row>
    <row r="44" spans="1:22">
      <c r="A44" s="14" t="s">
        <v>38</v>
      </c>
      <c r="B44" s="15">
        <v>400</v>
      </c>
      <c r="C44" s="13">
        <v>1</v>
      </c>
      <c r="D44" s="10">
        <v>1</v>
      </c>
      <c r="E44" s="10">
        <v>1</v>
      </c>
      <c r="F44" s="10">
        <v>1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1</v>
      </c>
      <c r="N44" s="10">
        <v>1</v>
      </c>
      <c r="O44" s="10">
        <v>0</v>
      </c>
      <c r="P44" s="10">
        <v>1</v>
      </c>
      <c r="Q44" s="10">
        <v>1</v>
      </c>
      <c r="R44" s="10">
        <v>1</v>
      </c>
      <c r="S44" s="10">
        <v>0</v>
      </c>
      <c r="T44" s="10">
        <v>0</v>
      </c>
      <c r="U44" s="10">
        <v>0</v>
      </c>
      <c r="V44" s="10">
        <v>12401</v>
      </c>
    </row>
    <row r="45" spans="1:22">
      <c r="A45" s="14" t="s">
        <v>39</v>
      </c>
      <c r="B45" s="15">
        <v>-850</v>
      </c>
      <c r="C45" s="13">
        <v>1</v>
      </c>
      <c r="D45" s="10">
        <v>0</v>
      </c>
      <c r="E45" s="10">
        <v>1</v>
      </c>
      <c r="F45" s="10">
        <v>0</v>
      </c>
      <c r="G45" s="10">
        <v>1</v>
      </c>
      <c r="H45" s="10">
        <v>0</v>
      </c>
      <c r="I45" s="10">
        <v>0</v>
      </c>
      <c r="J45" s="10">
        <v>0</v>
      </c>
      <c r="K45" s="10">
        <v>1</v>
      </c>
      <c r="L45" s="10">
        <v>0</v>
      </c>
      <c r="M45" s="10">
        <v>1</v>
      </c>
      <c r="N45" s="10">
        <v>1</v>
      </c>
      <c r="O45" s="10">
        <v>0</v>
      </c>
      <c r="P45" s="10">
        <v>1</v>
      </c>
      <c r="Q45" s="10">
        <v>1</v>
      </c>
      <c r="R45" s="10">
        <v>0</v>
      </c>
      <c r="S45" s="10">
        <v>0</v>
      </c>
      <c r="T45" s="10">
        <v>0</v>
      </c>
      <c r="U45" s="10">
        <v>1</v>
      </c>
      <c r="V45" s="10">
        <v>14901</v>
      </c>
    </row>
    <row r="46" spans="1:22">
      <c r="A46" s="14" t="s">
        <v>40</v>
      </c>
      <c r="B46" s="15">
        <v>-650</v>
      </c>
      <c r="C46" s="13">
        <v>0</v>
      </c>
      <c r="D46" s="10">
        <v>1</v>
      </c>
      <c r="E46" s="10">
        <v>0</v>
      </c>
      <c r="F46" s="10">
        <v>1</v>
      </c>
      <c r="G46" s="10">
        <v>0</v>
      </c>
      <c r="H46" s="10">
        <v>0</v>
      </c>
      <c r="I46" s="10">
        <v>0</v>
      </c>
      <c r="J46" s="10">
        <v>0</v>
      </c>
      <c r="K46" s="10">
        <v>1</v>
      </c>
      <c r="L46" s="10">
        <v>0</v>
      </c>
      <c r="M46" s="10">
        <v>0</v>
      </c>
      <c r="N46" s="10">
        <v>1</v>
      </c>
      <c r="O46" s="10">
        <v>0</v>
      </c>
      <c r="P46" s="10">
        <v>0</v>
      </c>
      <c r="Q46" s="10">
        <v>0</v>
      </c>
      <c r="R46" s="10">
        <v>1</v>
      </c>
      <c r="S46" s="10">
        <v>1</v>
      </c>
      <c r="T46" s="10">
        <v>1</v>
      </c>
      <c r="U46" s="10">
        <v>1</v>
      </c>
      <c r="V46" s="10">
        <v>12401</v>
      </c>
    </row>
    <row r="47" spans="1:22">
      <c r="A47" s="14" t="s">
        <v>41</v>
      </c>
      <c r="B47" s="15">
        <v>-1100</v>
      </c>
      <c r="C47" s="13">
        <v>1</v>
      </c>
      <c r="D47" s="10">
        <v>0</v>
      </c>
      <c r="E47" s="10">
        <v>1</v>
      </c>
      <c r="F47" s="10">
        <v>0</v>
      </c>
      <c r="G47" s="10">
        <v>1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1</v>
      </c>
      <c r="O47" s="10">
        <v>0</v>
      </c>
      <c r="P47" s="10">
        <v>0</v>
      </c>
      <c r="Q47" s="10">
        <v>1</v>
      </c>
      <c r="R47" s="10">
        <v>1</v>
      </c>
      <c r="S47" s="10">
        <v>1</v>
      </c>
      <c r="T47" s="10">
        <v>1</v>
      </c>
      <c r="U47" s="10">
        <v>1</v>
      </c>
      <c r="V47" s="10">
        <v>14901</v>
      </c>
    </row>
    <row r="48" spans="1:22">
      <c r="A48" s="14" t="s">
        <v>42</v>
      </c>
      <c r="B48" s="15">
        <v>-500</v>
      </c>
      <c r="C48" s="13">
        <v>1</v>
      </c>
      <c r="D48" s="10">
        <v>1</v>
      </c>
      <c r="E48" s="10">
        <v>0</v>
      </c>
      <c r="F48" s="10">
        <v>1</v>
      </c>
      <c r="G48" s="10">
        <v>1</v>
      </c>
      <c r="H48" s="10">
        <v>1</v>
      </c>
      <c r="I48" s="10">
        <v>0</v>
      </c>
      <c r="J48" s="10">
        <v>0</v>
      </c>
      <c r="K48" s="10">
        <v>1</v>
      </c>
      <c r="L48" s="10">
        <v>0</v>
      </c>
      <c r="M48" s="10">
        <v>0</v>
      </c>
      <c r="N48" s="10">
        <v>1</v>
      </c>
      <c r="O48" s="10">
        <v>0</v>
      </c>
      <c r="P48" s="10">
        <v>0</v>
      </c>
      <c r="Q48" s="10">
        <v>0</v>
      </c>
      <c r="R48" s="10">
        <v>0</v>
      </c>
      <c r="S48" s="10">
        <v>1</v>
      </c>
      <c r="T48" s="10">
        <v>0</v>
      </c>
      <c r="U48" s="10">
        <v>1</v>
      </c>
      <c r="V48" s="10">
        <v>16401</v>
      </c>
    </row>
    <row r="49" spans="1:22">
      <c r="A49" s="14" t="s">
        <v>43</v>
      </c>
      <c r="B49" s="15">
        <v>-425</v>
      </c>
      <c r="C49" s="13">
        <v>1</v>
      </c>
      <c r="D49" s="10">
        <v>1</v>
      </c>
      <c r="E49" s="10">
        <v>1</v>
      </c>
      <c r="F49" s="10">
        <v>1</v>
      </c>
      <c r="G49" s="10">
        <v>0</v>
      </c>
      <c r="H49" s="10">
        <v>1</v>
      </c>
      <c r="I49" s="10">
        <v>0</v>
      </c>
      <c r="J49" s="10">
        <v>0</v>
      </c>
      <c r="K49" s="10">
        <v>1</v>
      </c>
      <c r="L49" s="10">
        <v>0</v>
      </c>
      <c r="M49" s="10">
        <v>1</v>
      </c>
      <c r="N49" s="10">
        <v>0</v>
      </c>
      <c r="O49" s="10">
        <v>0</v>
      </c>
      <c r="P49" s="10">
        <v>0</v>
      </c>
      <c r="Q49" s="10">
        <v>0</v>
      </c>
      <c r="R49" s="10">
        <v>1</v>
      </c>
      <c r="S49" s="10">
        <v>1</v>
      </c>
      <c r="T49" s="10">
        <v>0</v>
      </c>
      <c r="U49" s="10">
        <v>1</v>
      </c>
      <c r="V49" s="10">
        <v>15901</v>
      </c>
    </row>
    <row r="50" s="8" customFormat="1" spans="1:22">
      <c r="A50" s="14" t="s">
        <v>44</v>
      </c>
      <c r="B50" s="15">
        <v>-525</v>
      </c>
      <c r="C50" s="13">
        <v>1</v>
      </c>
      <c r="D50" s="10">
        <v>1</v>
      </c>
      <c r="E50" s="10">
        <v>0</v>
      </c>
      <c r="F50" s="10">
        <v>1</v>
      </c>
      <c r="G50" s="10">
        <v>0</v>
      </c>
      <c r="H50" s="10">
        <v>1</v>
      </c>
      <c r="I50" s="10">
        <v>0</v>
      </c>
      <c r="J50" s="10">
        <v>0</v>
      </c>
      <c r="K50" s="10">
        <v>1</v>
      </c>
      <c r="L50" s="10">
        <v>0</v>
      </c>
      <c r="M50" s="10">
        <v>0</v>
      </c>
      <c r="N50" s="10">
        <v>1</v>
      </c>
      <c r="O50" s="10">
        <v>0</v>
      </c>
      <c r="P50" s="10">
        <v>0</v>
      </c>
      <c r="Q50" s="10">
        <v>0</v>
      </c>
      <c r="R50" s="10">
        <v>1</v>
      </c>
      <c r="S50" s="10">
        <v>1</v>
      </c>
      <c r="T50" s="10">
        <v>1</v>
      </c>
      <c r="U50" s="10">
        <v>0</v>
      </c>
      <c r="V50" s="10">
        <v>14401</v>
      </c>
    </row>
    <row r="51" spans="1:22">
      <c r="A51" s="14" t="s">
        <v>45</v>
      </c>
      <c r="B51" s="15">
        <v>-375</v>
      </c>
      <c r="C51" s="13">
        <v>1</v>
      </c>
      <c r="D51" s="10">
        <v>1</v>
      </c>
      <c r="E51" s="10">
        <v>0</v>
      </c>
      <c r="F51" s="10">
        <v>0</v>
      </c>
      <c r="G51" s="10">
        <v>1</v>
      </c>
      <c r="H51" s="10">
        <v>1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1</v>
      </c>
      <c r="Q51" s="10">
        <v>0</v>
      </c>
      <c r="R51" s="10">
        <v>1</v>
      </c>
      <c r="S51" s="10">
        <v>1</v>
      </c>
      <c r="T51" s="10">
        <v>1</v>
      </c>
      <c r="U51" s="10">
        <v>1</v>
      </c>
      <c r="V51" s="10">
        <v>14901</v>
      </c>
    </row>
    <row r="52" ht="14.25" spans="1:22">
      <c r="A52" s="16" t="s">
        <v>46</v>
      </c>
      <c r="B52" s="17">
        <v>-575</v>
      </c>
      <c r="C52" s="13">
        <v>1</v>
      </c>
      <c r="D52" s="10">
        <v>0</v>
      </c>
      <c r="E52" s="10">
        <v>1</v>
      </c>
      <c r="F52" s="10">
        <v>1</v>
      </c>
      <c r="G52" s="10">
        <v>0</v>
      </c>
      <c r="H52" s="10">
        <v>0</v>
      </c>
      <c r="I52" s="10">
        <v>0</v>
      </c>
      <c r="J52" s="10">
        <v>0</v>
      </c>
      <c r="K52" s="10">
        <v>1</v>
      </c>
      <c r="L52" s="10">
        <v>0</v>
      </c>
      <c r="M52" s="10">
        <v>0</v>
      </c>
      <c r="N52" s="10">
        <v>1</v>
      </c>
      <c r="O52" s="10">
        <v>0</v>
      </c>
      <c r="P52" s="10">
        <v>1</v>
      </c>
      <c r="Q52" s="10">
        <v>0</v>
      </c>
      <c r="R52" s="10">
        <v>1</v>
      </c>
      <c r="S52" s="10">
        <v>0</v>
      </c>
      <c r="T52" s="10">
        <v>0</v>
      </c>
      <c r="U52" s="10">
        <v>1</v>
      </c>
      <c r="V52" s="10">
        <v>12401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16"/>
  <sheetViews>
    <sheetView zoomScale="130" zoomScaleNormal="130" workbookViewId="0">
      <selection activeCell="E19" sqref="E19"/>
    </sheetView>
  </sheetViews>
  <sheetFormatPr defaultColWidth="9" defaultRowHeight="13.5" outlineLevelCol="3"/>
  <cols>
    <col min="1" max="16384" width="9" style="7"/>
  </cols>
  <sheetData>
    <row r="2" spans="3:4">
      <c r="C2" s="7" t="s">
        <v>47</v>
      </c>
      <c r="D2" s="7" t="s">
        <v>48</v>
      </c>
    </row>
    <row r="3" spans="2:4">
      <c r="B3" s="7" t="s">
        <v>49</v>
      </c>
      <c r="C3" s="7">
        <v>1.27</v>
      </c>
      <c r="D3" s="7">
        <f>(5*50+150+75)*C3/14</f>
        <v>43.0892857142857</v>
      </c>
    </row>
    <row r="4" spans="2:4">
      <c r="B4" s="7" t="s">
        <v>50</v>
      </c>
      <c r="C4" s="7">
        <f>2/3</f>
        <v>0.666666666666667</v>
      </c>
      <c r="D4" s="7">
        <f>C4*75/14</f>
        <v>3.57142857142857</v>
      </c>
    </row>
    <row r="5" spans="2:4">
      <c r="B5" s="7" t="s">
        <v>51</v>
      </c>
      <c r="C5" s="7">
        <v>6</v>
      </c>
      <c r="D5" s="7">
        <f>125*(C5)/14</f>
        <v>53.5714285714286</v>
      </c>
    </row>
    <row r="6" spans="2:4">
      <c r="B6" s="7" t="s">
        <v>52</v>
      </c>
      <c r="C6" s="7">
        <v>0.1</v>
      </c>
      <c r="D6" s="7">
        <f>(13*50+200+300)*C6/14</f>
        <v>8.21428571428571</v>
      </c>
    </row>
    <row r="7" spans="2:4">
      <c r="B7" s="7" t="s">
        <v>53</v>
      </c>
      <c r="D7" s="7">
        <f>SUM(D3:D6)</f>
        <v>108.446428571429</v>
      </c>
    </row>
    <row r="9" spans="2:4">
      <c r="B9" s="7" t="s">
        <v>49</v>
      </c>
      <c r="C9" s="7">
        <v>0.176</v>
      </c>
      <c r="D9" s="7">
        <f>(5*50+150+75)*C9/12</f>
        <v>6.96666666666667</v>
      </c>
    </row>
    <row r="10" spans="2:4">
      <c r="B10" s="7" t="s">
        <v>51</v>
      </c>
      <c r="C10" s="7">
        <f>10.8/3</f>
        <v>3.6</v>
      </c>
      <c r="D10" s="7">
        <f>125*(C10)/12</f>
        <v>37.5</v>
      </c>
    </row>
    <row r="11" spans="2:4">
      <c r="B11" s="7" t="s">
        <v>53</v>
      </c>
      <c r="D11" s="7">
        <f>SUM(D9:D10)</f>
        <v>44.4666666666667</v>
      </c>
    </row>
    <row r="13" spans="2:4">
      <c r="B13" s="7" t="s">
        <v>49</v>
      </c>
      <c r="C13" s="7">
        <v>0.82278</v>
      </c>
      <c r="D13" s="7">
        <f>(5*50+150+75)*C13/25</f>
        <v>15.63282</v>
      </c>
    </row>
    <row r="14" spans="2:4">
      <c r="B14" s="7" t="s">
        <v>51</v>
      </c>
      <c r="C14" s="7">
        <v>6</v>
      </c>
      <c r="D14" s="7">
        <f>125*(C14)/25</f>
        <v>30</v>
      </c>
    </row>
    <row r="15" spans="2:4">
      <c r="B15" s="7" t="s">
        <v>52</v>
      </c>
      <c r="C15" s="7">
        <v>1</v>
      </c>
      <c r="D15" s="7">
        <f>(13*50+200+300)*C15/25</f>
        <v>46</v>
      </c>
    </row>
    <row r="16" spans="2:4">
      <c r="B16" s="7" t="s">
        <v>53</v>
      </c>
      <c r="D16" s="7">
        <f>SUM(D13:D15)</f>
        <v>91.63282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zoomScale="190" zoomScaleNormal="190" workbookViewId="0">
      <selection activeCell="C7" sqref="C7"/>
    </sheetView>
  </sheetViews>
  <sheetFormatPr defaultColWidth="9" defaultRowHeight="13.5" outlineLevelRow="7" outlineLevelCol="1"/>
  <cols>
    <col min="1" max="1" width="10.375" style="3"/>
    <col min="2" max="2" width="13.75" style="3"/>
    <col min="3" max="3" width="11.9083333333333" style="3" customWidth="1"/>
    <col min="4" max="4" width="10.375" style="3"/>
    <col min="5" max="6" width="9.375" style="3"/>
    <col min="7" max="7" width="11.5" style="3"/>
    <col min="8" max="16384" width="9" style="3"/>
  </cols>
  <sheetData>
    <row r="1" ht="15.75" spans="1:2">
      <c r="A1" s="4"/>
      <c r="B1" s="4">
        <v>0</v>
      </c>
    </row>
    <row r="2" ht="15.75" spans="1:2">
      <c r="A2" s="5" t="s">
        <v>54</v>
      </c>
      <c r="B2" s="6">
        <v>-1350.055788</v>
      </c>
    </row>
    <row r="3" ht="15.75" spans="1:2">
      <c r="A3" s="5" t="s">
        <v>6</v>
      </c>
      <c r="B3" s="6">
        <v>-177.662911</v>
      </c>
    </row>
    <row r="4" ht="15.75" spans="1:2">
      <c r="A4" s="5" t="s">
        <v>7</v>
      </c>
      <c r="B4" s="6">
        <v>265.337542</v>
      </c>
    </row>
    <row r="5" ht="15.75" spans="1:2">
      <c r="A5" s="5" t="s">
        <v>13</v>
      </c>
      <c r="B5" s="6">
        <v>813.901169</v>
      </c>
    </row>
    <row r="6" ht="15.75" spans="1:2">
      <c r="A6" s="5" t="s">
        <v>19</v>
      </c>
      <c r="B6" s="6">
        <v>359.508326</v>
      </c>
    </row>
    <row r="7" ht="15.75" spans="1:2">
      <c r="A7" s="5" t="s">
        <v>20</v>
      </c>
      <c r="B7" s="6">
        <v>1336.742504</v>
      </c>
    </row>
    <row r="8" spans="2:2">
      <c r="B8" s="3">
        <f>B2+0.5625*SUM(B3:B7)</f>
        <v>111.221691375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tabSelected="1" zoomScale="115" zoomScaleNormal="115" workbookViewId="0">
      <selection activeCell="F6" sqref="F6"/>
    </sheetView>
  </sheetViews>
  <sheetFormatPr defaultColWidth="9" defaultRowHeight="13.5" outlineLevelCol="3"/>
  <cols>
    <col min="1" max="2" width="9" style="1"/>
    <col min="3" max="3" width="9.375" style="1"/>
    <col min="4" max="4" width="11.7333333333333" style="1" customWidth="1"/>
    <col min="5" max="16384" width="9" style="1"/>
  </cols>
  <sheetData>
    <row r="1" spans="2:4">
      <c r="B1" s="1" t="s">
        <v>55</v>
      </c>
      <c r="C1" s="1" t="b">
        <v>1</v>
      </c>
      <c r="D1" s="1" t="s">
        <v>56</v>
      </c>
    </row>
    <row r="2" spans="3:4">
      <c r="C2" s="1">
        <v>10000</v>
      </c>
      <c r="D2" s="1">
        <v>10000</v>
      </c>
    </row>
    <row r="3" spans="1:4">
      <c r="A3" s="1" t="s">
        <v>22</v>
      </c>
      <c r="B3" s="2">
        <v>150</v>
      </c>
      <c r="C3" s="1">
        <f t="shared" ref="C3:C16" si="0">C2+B3-108.45</f>
        <v>10041.55</v>
      </c>
      <c r="D3" s="1">
        <v>9926</v>
      </c>
    </row>
    <row r="4" spans="1:4">
      <c r="A4" s="1" t="s">
        <v>23</v>
      </c>
      <c r="B4" s="2">
        <v>-50</v>
      </c>
      <c r="C4" s="1">
        <f t="shared" si="0"/>
        <v>9883.1</v>
      </c>
      <c r="D4" s="1">
        <v>9674</v>
      </c>
    </row>
    <row r="5" spans="1:4">
      <c r="A5" s="1" t="s">
        <v>24</v>
      </c>
      <c r="B5" s="2">
        <v>-1025</v>
      </c>
      <c r="C5" s="1">
        <f t="shared" si="0"/>
        <v>8749.65</v>
      </c>
      <c r="D5" s="1">
        <v>8248</v>
      </c>
    </row>
    <row r="6" spans="1:4">
      <c r="A6" s="1" t="s">
        <v>25</v>
      </c>
      <c r="B6" s="2">
        <v>-250</v>
      </c>
      <c r="C6" s="1">
        <f t="shared" si="0"/>
        <v>8391.2</v>
      </c>
      <c r="D6" s="1">
        <v>7814</v>
      </c>
    </row>
    <row r="7" spans="1:4">
      <c r="A7" s="1" t="s">
        <v>26</v>
      </c>
      <c r="B7" s="2">
        <v>-1250</v>
      </c>
      <c r="C7" s="1">
        <f t="shared" si="0"/>
        <v>7032.75</v>
      </c>
      <c r="D7" s="1">
        <v>6748</v>
      </c>
    </row>
    <row r="8" spans="1:4">
      <c r="A8" s="1" t="s">
        <v>27</v>
      </c>
      <c r="B8" s="2">
        <v>-775</v>
      </c>
      <c r="C8" s="1">
        <f t="shared" si="0"/>
        <v>6149.3</v>
      </c>
      <c r="D8" s="1">
        <v>5948</v>
      </c>
    </row>
    <row r="9" spans="1:4">
      <c r="A9" s="1" t="s">
        <v>28</v>
      </c>
      <c r="B9" s="2">
        <v>-625</v>
      </c>
      <c r="C9" s="1">
        <f t="shared" si="0"/>
        <v>5415.85</v>
      </c>
      <c r="D9" s="1">
        <v>5325</v>
      </c>
    </row>
    <row r="10" spans="1:4">
      <c r="A10" s="1" t="s">
        <v>29</v>
      </c>
      <c r="B10" s="2">
        <v>-425</v>
      </c>
      <c r="C10" s="1">
        <f t="shared" si="0"/>
        <v>4882.4</v>
      </c>
      <c r="D10" s="1">
        <v>5073</v>
      </c>
    </row>
    <row r="11" spans="1:4">
      <c r="A11" s="1" t="s">
        <v>30</v>
      </c>
      <c r="B11" s="2">
        <v>-100</v>
      </c>
      <c r="C11" s="1">
        <f t="shared" si="0"/>
        <v>4673.95</v>
      </c>
      <c r="D11" s="1">
        <v>4727</v>
      </c>
    </row>
    <row r="12" spans="1:4">
      <c r="A12" s="1" t="s">
        <v>31</v>
      </c>
      <c r="B12" s="2">
        <v>-975</v>
      </c>
      <c r="C12" s="1">
        <f t="shared" si="0"/>
        <v>3590.5</v>
      </c>
      <c r="D12" s="1">
        <v>3926</v>
      </c>
    </row>
    <row r="13" spans="1:4">
      <c r="A13" s="1" t="s">
        <v>32</v>
      </c>
      <c r="B13" s="2">
        <v>-225</v>
      </c>
      <c r="C13" s="1">
        <f t="shared" si="0"/>
        <v>3257.05</v>
      </c>
      <c r="D13" s="1">
        <v>3758</v>
      </c>
    </row>
    <row r="14" spans="1:4">
      <c r="A14" s="1" t="s">
        <v>33</v>
      </c>
      <c r="B14" s="2">
        <v>-1000</v>
      </c>
      <c r="C14" s="1">
        <f t="shared" si="0"/>
        <v>2148.6</v>
      </c>
      <c r="D14" s="1">
        <v>3146</v>
      </c>
    </row>
    <row r="15" spans="1:4">
      <c r="A15" s="1" t="s">
        <v>34</v>
      </c>
      <c r="B15" s="2">
        <v>-450</v>
      </c>
      <c r="C15" s="1">
        <f t="shared" si="0"/>
        <v>1590.15</v>
      </c>
      <c r="D15" s="1">
        <v>2712</v>
      </c>
    </row>
    <row r="16" spans="1:4">
      <c r="A16" s="1" t="s">
        <v>35</v>
      </c>
      <c r="B16" s="2">
        <v>-925</v>
      </c>
      <c r="C16" s="1">
        <f t="shared" si="0"/>
        <v>556.699999999998</v>
      </c>
      <c r="D16" s="1">
        <v>1646</v>
      </c>
    </row>
    <row r="17" spans="2:2">
      <c r="B17" s="2"/>
    </row>
    <row r="18" spans="2:4">
      <c r="B18" s="2"/>
      <c r="C18" s="1">
        <v>1000</v>
      </c>
      <c r="D18" s="1">
        <v>1000</v>
      </c>
    </row>
    <row r="19" spans="1:4">
      <c r="A19" s="2" t="s">
        <v>22</v>
      </c>
      <c r="B19" s="2">
        <v>475</v>
      </c>
      <c r="C19" s="1">
        <f t="shared" ref="C19:C30" si="1">C18+B19-44.47</f>
        <v>1430.53</v>
      </c>
      <c r="D19" s="1">
        <v>1354</v>
      </c>
    </row>
    <row r="20" spans="1:4">
      <c r="A20" s="2" t="s">
        <v>23</v>
      </c>
      <c r="B20" s="2">
        <v>1700</v>
      </c>
      <c r="C20" s="1">
        <f t="shared" si="1"/>
        <v>3086.06</v>
      </c>
      <c r="D20" s="1">
        <v>2882</v>
      </c>
    </row>
    <row r="21" spans="1:4">
      <c r="A21" s="2" t="s">
        <v>24</v>
      </c>
      <c r="B21" s="2">
        <v>700</v>
      </c>
      <c r="C21" s="1">
        <f t="shared" si="1"/>
        <v>3741.59</v>
      </c>
      <c r="D21" s="1">
        <v>3331</v>
      </c>
    </row>
    <row r="22" spans="1:4">
      <c r="A22" s="2" t="s">
        <v>25</v>
      </c>
      <c r="B22" s="2">
        <v>500</v>
      </c>
      <c r="C22" s="1">
        <f t="shared" si="1"/>
        <v>4197.12</v>
      </c>
      <c r="D22" s="1">
        <v>3507</v>
      </c>
    </row>
    <row r="23" spans="1:4">
      <c r="A23" s="2" t="s">
        <v>26</v>
      </c>
      <c r="B23" s="2">
        <v>1425</v>
      </c>
      <c r="C23" s="1">
        <f t="shared" si="1"/>
        <v>5577.65</v>
      </c>
      <c r="D23" s="1">
        <v>4675</v>
      </c>
    </row>
    <row r="24" spans="1:4">
      <c r="A24" s="2" t="s">
        <v>27</v>
      </c>
      <c r="B24" s="2">
        <v>750</v>
      </c>
      <c r="C24" s="1">
        <f t="shared" si="1"/>
        <v>6283.18</v>
      </c>
      <c r="D24" s="1">
        <v>5401</v>
      </c>
    </row>
    <row r="25" spans="1:4">
      <c r="A25" s="2" t="s">
        <v>28</v>
      </c>
      <c r="B25" s="2">
        <v>625</v>
      </c>
      <c r="C25" s="1">
        <f t="shared" si="1"/>
        <v>6863.71</v>
      </c>
      <c r="D25" s="1">
        <v>6303</v>
      </c>
    </row>
    <row r="26" spans="1:4">
      <c r="A26" s="2" t="s">
        <v>29</v>
      </c>
      <c r="B26" s="2">
        <v>1850</v>
      </c>
      <c r="C26" s="1">
        <f t="shared" si="1"/>
        <v>8669.24</v>
      </c>
      <c r="D26" s="1">
        <v>7831</v>
      </c>
    </row>
    <row r="27" spans="1:4">
      <c r="A27" s="2" t="s">
        <v>30</v>
      </c>
      <c r="B27" s="2">
        <v>150</v>
      </c>
      <c r="C27" s="1">
        <f t="shared" si="1"/>
        <v>8774.77</v>
      </c>
      <c r="D27" s="1">
        <v>8185</v>
      </c>
    </row>
    <row r="28" spans="1:4">
      <c r="A28" s="2" t="s">
        <v>31</v>
      </c>
      <c r="B28" s="2">
        <v>1300</v>
      </c>
      <c r="C28" s="1">
        <f t="shared" si="1"/>
        <v>10030.3</v>
      </c>
      <c r="D28" s="1">
        <v>9088</v>
      </c>
    </row>
    <row r="29" spans="1:4">
      <c r="A29" s="2" t="s">
        <v>32</v>
      </c>
      <c r="B29" s="2">
        <v>550</v>
      </c>
      <c r="C29" s="1">
        <f t="shared" si="1"/>
        <v>10535.83</v>
      </c>
      <c r="D29" s="1">
        <v>9537</v>
      </c>
    </row>
    <row r="30" spans="1:4">
      <c r="A30" s="2" t="s">
        <v>33</v>
      </c>
      <c r="B30" s="2">
        <v>550</v>
      </c>
      <c r="C30" s="1">
        <f t="shared" si="1"/>
        <v>11041.36</v>
      </c>
      <c r="D30" s="1">
        <v>10251</v>
      </c>
    </row>
    <row r="32" spans="3:4">
      <c r="C32" s="1">
        <v>4000</v>
      </c>
      <c r="D32" s="1">
        <v>4000</v>
      </c>
    </row>
    <row r="33" spans="1:4">
      <c r="A33" s="2" t="s">
        <v>22</v>
      </c>
      <c r="B33" s="2">
        <v>-425</v>
      </c>
      <c r="C33" s="1">
        <f>C32+B33-91.63</f>
        <v>3483.37</v>
      </c>
      <c r="D33" s="1">
        <v>2752</v>
      </c>
    </row>
    <row r="34" spans="1:4">
      <c r="A34" s="2" t="s">
        <v>23</v>
      </c>
      <c r="B34" s="2">
        <v>-75</v>
      </c>
      <c r="C34" s="1">
        <f t="shared" ref="C34:C57" si="2">C33+B34-91.63</f>
        <v>3316.74</v>
      </c>
      <c r="D34" s="1">
        <v>2584</v>
      </c>
    </row>
    <row r="35" spans="1:4">
      <c r="A35" s="2" t="s">
        <v>24</v>
      </c>
      <c r="B35" s="2">
        <v>725</v>
      </c>
      <c r="C35" s="1">
        <f t="shared" si="2"/>
        <v>3950.11</v>
      </c>
      <c r="D35" s="1">
        <v>3120</v>
      </c>
    </row>
    <row r="36" spans="1:4">
      <c r="A36" s="2" t="s">
        <v>25</v>
      </c>
      <c r="B36" s="2">
        <v>125</v>
      </c>
      <c r="C36" s="1">
        <f t="shared" si="2"/>
        <v>3983.48</v>
      </c>
      <c r="D36" s="1">
        <v>3311</v>
      </c>
    </row>
    <row r="37" spans="1:4">
      <c r="A37" s="2" t="s">
        <v>26</v>
      </c>
      <c r="B37" s="2">
        <v>575</v>
      </c>
      <c r="C37" s="1">
        <f t="shared" si="2"/>
        <v>4466.85</v>
      </c>
      <c r="D37" s="1">
        <v>4025</v>
      </c>
    </row>
    <row r="38" spans="1:4">
      <c r="A38" s="2" t="s">
        <v>27</v>
      </c>
      <c r="B38" s="2">
        <v>850</v>
      </c>
      <c r="C38" s="1">
        <f t="shared" si="2"/>
        <v>5225.22</v>
      </c>
      <c r="D38" s="1">
        <v>4738</v>
      </c>
    </row>
    <row r="39" spans="1:4">
      <c r="A39" s="2" t="s">
        <v>28</v>
      </c>
      <c r="B39" s="2">
        <v>925</v>
      </c>
      <c r="C39" s="1">
        <f t="shared" si="2"/>
        <v>6058.59</v>
      </c>
      <c r="D39" s="1">
        <v>5641</v>
      </c>
    </row>
    <row r="40" spans="1:4">
      <c r="A40" s="2" t="s">
        <v>29</v>
      </c>
      <c r="B40" s="2">
        <v>-725</v>
      </c>
      <c r="C40" s="1">
        <f t="shared" si="2"/>
        <v>5241.96</v>
      </c>
      <c r="D40" s="1">
        <v>4575</v>
      </c>
    </row>
    <row r="41" spans="1:4">
      <c r="A41" s="2" t="s">
        <v>30</v>
      </c>
      <c r="B41" s="2">
        <v>1925</v>
      </c>
      <c r="C41" s="1">
        <f t="shared" si="2"/>
        <v>7075.33</v>
      </c>
      <c r="D41" s="1">
        <v>5925</v>
      </c>
    </row>
    <row r="42" spans="1:4">
      <c r="A42" s="2" t="s">
        <v>31</v>
      </c>
      <c r="B42" s="2">
        <v>-550</v>
      </c>
      <c r="C42" s="1">
        <f t="shared" si="2"/>
        <v>6433.7</v>
      </c>
      <c r="D42" s="1">
        <v>5303</v>
      </c>
    </row>
    <row r="43" spans="1:4">
      <c r="A43" s="2" t="s">
        <v>32</v>
      </c>
      <c r="B43" s="2">
        <v>-75</v>
      </c>
      <c r="C43" s="1">
        <f t="shared" si="2"/>
        <v>6267.07</v>
      </c>
      <c r="D43" s="1">
        <v>5051</v>
      </c>
    </row>
    <row r="44" spans="1:4">
      <c r="A44" s="2" t="s">
        <v>33</v>
      </c>
      <c r="B44" s="2">
        <v>1375</v>
      </c>
      <c r="C44" s="1">
        <f t="shared" si="2"/>
        <v>7550.44</v>
      </c>
      <c r="D44" s="1">
        <v>6219</v>
      </c>
    </row>
    <row r="45" spans="1:4">
      <c r="A45" s="2" t="s">
        <v>34</v>
      </c>
      <c r="B45" s="2">
        <v>-800</v>
      </c>
      <c r="C45" s="1">
        <f t="shared" si="2"/>
        <v>6658.81</v>
      </c>
      <c r="D45" s="1">
        <v>5153</v>
      </c>
    </row>
    <row r="46" spans="1:4">
      <c r="A46" s="2" t="s">
        <v>35</v>
      </c>
      <c r="B46" s="2">
        <v>-150</v>
      </c>
      <c r="C46" s="1">
        <f t="shared" si="2"/>
        <v>6417.18</v>
      </c>
      <c r="D46" s="1">
        <v>5242</v>
      </c>
    </row>
    <row r="47" spans="1:4">
      <c r="A47" s="2" t="s">
        <v>36</v>
      </c>
      <c r="B47" s="2">
        <v>825</v>
      </c>
      <c r="C47" s="1">
        <f t="shared" si="2"/>
        <v>7150.55</v>
      </c>
      <c r="D47" s="1">
        <v>6410</v>
      </c>
    </row>
    <row r="48" spans="1:4">
      <c r="A48" s="2" t="s">
        <v>37</v>
      </c>
      <c r="B48" s="2">
        <v>1550</v>
      </c>
      <c r="C48" s="1">
        <f t="shared" si="2"/>
        <v>8608.92</v>
      </c>
      <c r="D48" s="1">
        <v>7578</v>
      </c>
    </row>
    <row r="49" spans="1:4">
      <c r="A49" s="2" t="s">
        <v>38</v>
      </c>
      <c r="B49" s="2">
        <v>400</v>
      </c>
      <c r="C49" s="1">
        <f t="shared" si="2"/>
        <v>8917.29</v>
      </c>
      <c r="D49" s="1">
        <v>8114</v>
      </c>
    </row>
    <row r="50" spans="1:4">
      <c r="A50" s="2" t="s">
        <v>39</v>
      </c>
      <c r="B50" s="2">
        <v>-850</v>
      </c>
      <c r="C50" s="1">
        <f t="shared" si="2"/>
        <v>7975.66</v>
      </c>
      <c r="D50" s="1">
        <v>7491</v>
      </c>
    </row>
    <row r="51" spans="1:4">
      <c r="A51" s="2" t="s">
        <v>40</v>
      </c>
      <c r="B51" s="2">
        <v>-650</v>
      </c>
      <c r="C51" s="1">
        <f t="shared" si="2"/>
        <v>7234.03</v>
      </c>
      <c r="D51" s="1">
        <v>6331</v>
      </c>
    </row>
    <row r="52" spans="1:4">
      <c r="A52" s="2" t="s">
        <v>41</v>
      </c>
      <c r="B52" s="2">
        <v>-1100</v>
      </c>
      <c r="C52" s="1">
        <f t="shared" si="2"/>
        <v>6042.4</v>
      </c>
      <c r="D52" s="1">
        <v>5349</v>
      </c>
    </row>
    <row r="53" spans="1:4">
      <c r="A53" s="2" t="s">
        <v>42</v>
      </c>
      <c r="B53" s="2">
        <v>-500</v>
      </c>
      <c r="C53" s="1">
        <f t="shared" si="2"/>
        <v>5450.77</v>
      </c>
      <c r="D53" s="1">
        <v>4461</v>
      </c>
    </row>
    <row r="54" spans="1:4">
      <c r="A54" s="2" t="s">
        <v>43</v>
      </c>
      <c r="B54" s="2">
        <v>-425</v>
      </c>
      <c r="C54" s="1">
        <f t="shared" si="2"/>
        <v>4934.14</v>
      </c>
      <c r="D54" s="1">
        <v>4209</v>
      </c>
    </row>
    <row r="55" spans="1:4">
      <c r="A55" s="2" t="s">
        <v>44</v>
      </c>
      <c r="B55" s="2">
        <v>-525</v>
      </c>
      <c r="C55" s="1">
        <f t="shared" si="2"/>
        <v>4317.51</v>
      </c>
      <c r="D55" s="1">
        <v>4120</v>
      </c>
    </row>
    <row r="56" spans="1:4">
      <c r="A56" s="2" t="s">
        <v>45</v>
      </c>
      <c r="B56" s="2">
        <v>-375</v>
      </c>
      <c r="C56" s="1">
        <f t="shared" si="2"/>
        <v>3850.88</v>
      </c>
      <c r="D56" s="1">
        <v>3686</v>
      </c>
    </row>
    <row r="57" spans="1:4">
      <c r="A57" s="2" t="s">
        <v>46</v>
      </c>
      <c r="B57" s="2">
        <v>-575</v>
      </c>
      <c r="C57" s="1">
        <f t="shared" si="2"/>
        <v>3184.25</v>
      </c>
      <c r="D57" s="1">
        <v>2885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</vt:lpstr>
      <vt:lpstr>额外阳光消耗</vt:lpstr>
      <vt:lpstr>模型参数</vt:lpstr>
      <vt:lpstr>折线对比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乔荔(2022012959)</cp:lastModifiedBy>
  <dcterms:created xsi:type="dcterms:W3CDTF">2025-02-03T01:50:00Z</dcterms:created>
  <dcterms:modified xsi:type="dcterms:W3CDTF">2025-05-09T23:40:13Z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D4A6D8782FF748E1B7A89F134702C9EF_12</vt:lpwstr>
  </property>
  <property fmtid="{D5CDD505-2E9C-101B-9397-08002B2CF9AE}" pid="3" name="KSOProductBuildVer">
    <vt:lpwstr>2052-11.1.0.14036</vt:lpwstr>
  </property>
</Properties>
</file>