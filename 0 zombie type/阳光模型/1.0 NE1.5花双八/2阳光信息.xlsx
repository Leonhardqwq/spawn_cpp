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200" windowHeight="11505" activeTab="1"/>
  </bookViews>
  <sheets>
    <sheet name="汇总" sheetId="4" r:id="rId1"/>
    <sheet name="补曾修正725" sheetId="11" r:id="rId2"/>
    <sheet name="折线对比1" sheetId="7" r:id="rId3"/>
    <sheet name="折线对比2" sheetId="9" r:id="rId4"/>
    <sheet name="矿工阳光消耗" sheetId="6" r:id="rId5"/>
    <sheet name="模型参数" sheetId="5" r:id="rId6"/>
    <sheet name="破阵率" sheetId="8" r:id="rId7"/>
    <sheet name="截图" sheetId="10" r:id="rId8"/>
  </sheets>
  <calcPr calcId="144525"/>
</workbook>
</file>

<file path=xl/sharedStrings.xml><?xml version="1.0" encoding="utf-8"?>
<sst xmlns="http://schemas.openxmlformats.org/spreadsheetml/2006/main" count="189" uniqueCount="42">
  <si>
    <t>Y</t>
  </si>
  <si>
    <t>红</t>
  </si>
  <si>
    <t>气</t>
  </si>
  <si>
    <t>橄</t>
  </si>
  <si>
    <t>丑</t>
  </si>
  <si>
    <t>篮</t>
  </si>
  <si>
    <t>舞</t>
  </si>
  <si>
    <t>撑</t>
  </si>
  <si>
    <t>白</t>
  </si>
  <si>
    <t>权重和</t>
  </si>
  <si>
    <t>2002f</t>
  </si>
  <si>
    <t>2004f</t>
  </si>
  <si>
    <t>2006f</t>
  </si>
  <si>
    <t>2008f</t>
  </si>
  <si>
    <t>2010f</t>
  </si>
  <si>
    <t>2012f</t>
  </si>
  <si>
    <t>2014f</t>
  </si>
  <si>
    <t>2016f</t>
  </si>
  <si>
    <t>2018f</t>
  </si>
  <si>
    <t>2020f</t>
  </si>
  <si>
    <t>2022f</t>
  </si>
  <si>
    <t>2024f</t>
  </si>
  <si>
    <t>2026f</t>
  </si>
  <si>
    <t>2028f</t>
  </si>
  <si>
    <t>2030f</t>
  </si>
  <si>
    <t>2032f</t>
  </si>
  <si>
    <t>2034f</t>
  </si>
  <si>
    <t>2036f</t>
  </si>
  <si>
    <t>2038f</t>
  </si>
  <si>
    <t>2040f</t>
  </si>
  <si>
    <t>2042f</t>
  </si>
  <si>
    <t>2044f</t>
  </si>
  <si>
    <t>2046f</t>
  </si>
  <si>
    <t>2048f</t>
  </si>
  <si>
    <t>2050f</t>
  </si>
  <si>
    <t>破阵率/%</t>
  </si>
  <si>
    <t>百f</t>
  </si>
  <si>
    <t>千f</t>
  </si>
  <si>
    <t>万f</t>
  </si>
  <si>
    <t>平均补曾
选卡数</t>
  </si>
  <si>
    <t>dlt</t>
  </si>
  <si>
    <t>pred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</si>
</sst>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0.5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3" borderId="2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7" borderId="24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25" applyNumberFormat="0" applyFill="0" applyAlignment="0" applyProtection="0">
      <alignment vertical="center"/>
    </xf>
    <xf numFmtId="0" fontId="14" fillId="0" borderId="25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26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5" fillId="11" borderId="27" applyNumberFormat="0" applyAlignment="0" applyProtection="0">
      <alignment vertical="center"/>
    </xf>
    <xf numFmtId="0" fontId="16" fillId="11" borderId="23" applyNumberFormat="0" applyAlignment="0" applyProtection="0">
      <alignment vertical="center"/>
    </xf>
    <xf numFmtId="0" fontId="17" fillId="12" borderId="28" applyNumberForma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8" fillId="0" borderId="29" applyNumberFormat="0" applyFill="0" applyAlignment="0" applyProtection="0">
      <alignment vertical="center"/>
    </xf>
    <xf numFmtId="0" fontId="19" fillId="0" borderId="30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0" fillId="0" borderId="1" xfId="0" applyFill="1" applyBorder="1">
      <alignment vertical="center"/>
    </xf>
    <xf numFmtId="0" fontId="0" fillId="0" borderId="2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4" xfId="0" applyFill="1" applyBorder="1">
      <alignment vertical="center"/>
    </xf>
    <xf numFmtId="0" fontId="0" fillId="0" borderId="5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7" xfId="0" applyFill="1" applyBorder="1" applyAlignment="1">
      <alignment vertical="center"/>
    </xf>
    <xf numFmtId="0" fontId="0" fillId="0" borderId="8" xfId="0" applyFill="1" applyBorder="1">
      <alignment vertical="center"/>
    </xf>
    <xf numFmtId="0" fontId="0" fillId="0" borderId="9" xfId="0" applyFill="1" applyBorder="1">
      <alignment vertical="center"/>
    </xf>
    <xf numFmtId="0" fontId="0" fillId="0" borderId="1" xfId="0" applyFill="1" applyBorder="1" applyAlignment="1">
      <alignment vertical="center"/>
    </xf>
    <xf numFmtId="0" fontId="0" fillId="0" borderId="10" xfId="0" applyFill="1" applyBorder="1">
      <alignment vertical="center"/>
    </xf>
    <xf numFmtId="0" fontId="0" fillId="0" borderId="11" xfId="0" applyFill="1" applyBorder="1" applyAlignment="1">
      <alignment vertical="center"/>
    </xf>
    <xf numFmtId="0" fontId="0" fillId="0" borderId="12" xfId="0" applyFill="1" applyBorder="1">
      <alignment vertical="center"/>
    </xf>
    <xf numFmtId="0" fontId="0" fillId="0" borderId="13" xfId="0" applyFill="1" applyBorder="1" applyAlignment="1">
      <alignment vertical="center"/>
    </xf>
    <xf numFmtId="0" fontId="0" fillId="0" borderId="1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15" xfId="0" applyFill="1" applyBorder="1">
      <alignment vertical="center"/>
    </xf>
    <xf numFmtId="0" fontId="0" fillId="0" borderId="16" xfId="0" applyFill="1" applyBorder="1">
      <alignment vertical="center"/>
    </xf>
    <xf numFmtId="0" fontId="0" fillId="0" borderId="17" xfId="0" applyFill="1" applyBorder="1" applyAlignment="1">
      <alignment vertical="center"/>
    </xf>
    <xf numFmtId="0" fontId="0" fillId="0" borderId="16" xfId="0" applyFill="1" applyBorder="1" applyAlignment="1">
      <alignment vertical="center"/>
    </xf>
    <xf numFmtId="0" fontId="0" fillId="0" borderId="18" xfId="0" applyFill="1" applyBorder="1" applyAlignment="1">
      <alignment vertical="center"/>
    </xf>
    <xf numFmtId="0" fontId="0" fillId="0" borderId="19" xfId="0" applyFill="1" applyBorder="1" applyAlignment="1">
      <alignment vertical="center"/>
    </xf>
    <xf numFmtId="0" fontId="0" fillId="0" borderId="20" xfId="0" applyFill="1" applyBorder="1" applyAlignment="1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Fill="1" applyBorder="1">
      <alignment vertical="center"/>
    </xf>
    <xf numFmtId="0" fontId="0" fillId="0" borderId="21" xfId="0" applyFill="1" applyBorder="1">
      <alignment vertical="center"/>
    </xf>
    <xf numFmtId="0" fontId="0" fillId="0" borderId="22" xfId="0" applyFill="1" applyBorder="1">
      <alignment vertical="center"/>
    </xf>
    <xf numFmtId="0" fontId="0" fillId="0" borderId="0" xfId="0" applyFill="1" applyBorder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"TRUE"</c:f>
              <c:strCache>
                <c:ptCount val="1"/>
                <c:pt idx="0">
                  <c:v>TRUE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折线对比1!$C$2:$C$27</c:f>
              <c:numCache>
                <c:formatCode>General</c:formatCode>
                <c:ptCount val="26"/>
                <c:pt idx="0">
                  <c:v>4000</c:v>
                </c:pt>
                <c:pt idx="1">
                  <c:v>4659</c:v>
                </c:pt>
                <c:pt idx="2">
                  <c:v>5343</c:v>
                </c:pt>
                <c:pt idx="3">
                  <c:v>5627</c:v>
                </c:pt>
                <c:pt idx="4">
                  <c:v>5286</c:v>
                </c:pt>
                <c:pt idx="5">
                  <c:v>5220</c:v>
                </c:pt>
                <c:pt idx="6">
                  <c:v>6054</c:v>
                </c:pt>
                <c:pt idx="7">
                  <c:v>5813</c:v>
                </c:pt>
                <c:pt idx="8">
                  <c:v>6472</c:v>
                </c:pt>
                <c:pt idx="9">
                  <c:v>7306</c:v>
                </c:pt>
                <c:pt idx="10">
                  <c:v>7090</c:v>
                </c:pt>
                <c:pt idx="11">
                  <c:v>7149</c:v>
                </c:pt>
                <c:pt idx="12">
                  <c:v>6758</c:v>
                </c:pt>
                <c:pt idx="13">
                  <c:v>6342</c:v>
                </c:pt>
                <c:pt idx="14">
                  <c:v>6476</c:v>
                </c:pt>
                <c:pt idx="15">
                  <c:v>6035</c:v>
                </c:pt>
                <c:pt idx="16">
                  <c:v>6394</c:v>
                </c:pt>
                <c:pt idx="17">
                  <c:v>6178</c:v>
                </c:pt>
                <c:pt idx="18">
                  <c:v>6137</c:v>
                </c:pt>
                <c:pt idx="19">
                  <c:v>6296</c:v>
                </c:pt>
                <c:pt idx="20">
                  <c:v>6305</c:v>
                </c:pt>
                <c:pt idx="21">
                  <c:v>6389</c:v>
                </c:pt>
                <c:pt idx="22">
                  <c:v>5998</c:v>
                </c:pt>
                <c:pt idx="23">
                  <c:v>6782</c:v>
                </c:pt>
                <c:pt idx="24">
                  <c:v>6941</c:v>
                </c:pt>
                <c:pt idx="25">
                  <c:v>6500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"pred"</c:f>
              <c:strCache>
                <c:ptCount val="1"/>
                <c:pt idx="0">
                  <c:v>pred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折线对比1!$D$2:$D$27</c:f>
              <c:numCache>
                <c:formatCode>General</c:formatCode>
                <c:ptCount val="26"/>
                <c:pt idx="0">
                  <c:v>4000</c:v>
                </c:pt>
                <c:pt idx="1">
                  <c:v>4540</c:v>
                </c:pt>
                <c:pt idx="2">
                  <c:v>5221</c:v>
                </c:pt>
                <c:pt idx="3">
                  <c:v>5622</c:v>
                </c:pt>
                <c:pt idx="4">
                  <c:v>5203</c:v>
                </c:pt>
                <c:pt idx="5">
                  <c:v>5059</c:v>
                </c:pt>
                <c:pt idx="6">
                  <c:v>5706</c:v>
                </c:pt>
                <c:pt idx="7">
                  <c:v>5603</c:v>
                </c:pt>
                <c:pt idx="8">
                  <c:v>6291</c:v>
                </c:pt>
                <c:pt idx="9">
                  <c:v>7038</c:v>
                </c:pt>
                <c:pt idx="10">
                  <c:v>6780</c:v>
                </c:pt>
                <c:pt idx="11">
                  <c:v>7082</c:v>
                </c:pt>
                <c:pt idx="12">
                  <c:v>6847</c:v>
                </c:pt>
                <c:pt idx="13">
                  <c:v>6487</c:v>
                </c:pt>
                <c:pt idx="14">
                  <c:v>6429</c:v>
                </c:pt>
                <c:pt idx="15">
                  <c:v>6336</c:v>
                </c:pt>
                <c:pt idx="16">
                  <c:v>6711</c:v>
                </c:pt>
                <c:pt idx="17">
                  <c:v>6494</c:v>
                </c:pt>
                <c:pt idx="18">
                  <c:v>6477</c:v>
                </c:pt>
                <c:pt idx="19">
                  <c:v>6415</c:v>
                </c:pt>
                <c:pt idx="20">
                  <c:v>6399</c:v>
                </c:pt>
                <c:pt idx="21">
                  <c:v>6283</c:v>
                </c:pt>
                <c:pt idx="22">
                  <c:v>6239</c:v>
                </c:pt>
                <c:pt idx="23">
                  <c:v>7015</c:v>
                </c:pt>
                <c:pt idx="24">
                  <c:v>6935</c:v>
                </c:pt>
                <c:pt idx="25">
                  <c:v>6575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878757453"/>
        <c:axId val="495685896"/>
      </c:lineChart>
      <c:catAx>
        <c:axId val="87875745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95685896"/>
        <c:crosses val="autoZero"/>
        <c:auto val="1"/>
        <c:lblAlgn val="ctr"/>
        <c:lblOffset val="100"/>
        <c:noMultiLvlLbl val="0"/>
      </c:catAx>
      <c:valAx>
        <c:axId val="495685896"/>
        <c:scaling>
          <c:orientation val="minMax"/>
          <c:max val="7500"/>
          <c:min val="3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7875745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"TRUE"</c:f>
              <c:strCache>
                <c:ptCount val="1"/>
                <c:pt idx="0">
                  <c:v>TRUE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折线对比2!$C$2:$C$27</c:f>
              <c:numCache>
                <c:formatCode>General</c:formatCode>
                <c:ptCount val="26"/>
                <c:pt idx="0">
                  <c:v>8000</c:v>
                </c:pt>
                <c:pt idx="1">
                  <c:v>8009</c:v>
                </c:pt>
                <c:pt idx="2">
                  <c:v>7893</c:v>
                </c:pt>
                <c:pt idx="3">
                  <c:v>7802</c:v>
                </c:pt>
                <c:pt idx="4">
                  <c:v>7661</c:v>
                </c:pt>
                <c:pt idx="5">
                  <c:v>7270</c:v>
                </c:pt>
                <c:pt idx="6">
                  <c:v>6829</c:v>
                </c:pt>
                <c:pt idx="7">
                  <c:v>6638</c:v>
                </c:pt>
                <c:pt idx="8">
                  <c:v>6747</c:v>
                </c:pt>
                <c:pt idx="9">
                  <c:v>6431</c:v>
                </c:pt>
                <c:pt idx="10">
                  <c:v>6390</c:v>
                </c:pt>
                <c:pt idx="11">
                  <c:v>6249</c:v>
                </c:pt>
                <c:pt idx="12">
                  <c:v>6083</c:v>
                </c:pt>
                <c:pt idx="13">
                  <c:v>5517</c:v>
                </c:pt>
                <c:pt idx="14">
                  <c:v>5426</c:v>
                </c:pt>
                <c:pt idx="15">
                  <c:v>5160</c:v>
                </c:pt>
                <c:pt idx="16">
                  <c:v>4894</c:v>
                </c:pt>
                <c:pt idx="17">
                  <c:v>4778</c:v>
                </c:pt>
                <c:pt idx="18">
                  <c:v>4512</c:v>
                </c:pt>
                <c:pt idx="19">
                  <c:v>4596</c:v>
                </c:pt>
                <c:pt idx="20">
                  <c:v>4380</c:v>
                </c:pt>
                <c:pt idx="21">
                  <c:v>4464</c:v>
                </c:pt>
                <c:pt idx="22">
                  <c:v>4723</c:v>
                </c:pt>
                <c:pt idx="23">
                  <c:v>4657</c:v>
                </c:pt>
                <c:pt idx="24">
                  <c:v>4441</c:v>
                </c:pt>
                <c:pt idx="25">
                  <c:v>4175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"pred"</c:f>
              <c:strCache>
                <c:ptCount val="1"/>
                <c:pt idx="0">
                  <c:v>pred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折线对比2!$D$2:$D$27</c:f>
              <c:numCache>
                <c:formatCode>General</c:formatCode>
                <c:ptCount val="26"/>
                <c:pt idx="0">
                  <c:v>8000</c:v>
                </c:pt>
                <c:pt idx="1">
                  <c:v>7984</c:v>
                </c:pt>
                <c:pt idx="2">
                  <c:v>7757</c:v>
                </c:pt>
                <c:pt idx="3">
                  <c:v>7727</c:v>
                </c:pt>
                <c:pt idx="4">
                  <c:v>7507</c:v>
                </c:pt>
                <c:pt idx="5">
                  <c:v>7174</c:v>
                </c:pt>
                <c:pt idx="6">
                  <c:v>6882</c:v>
                </c:pt>
                <c:pt idx="7">
                  <c:v>6631</c:v>
                </c:pt>
                <c:pt idx="8">
                  <c:v>6583</c:v>
                </c:pt>
                <c:pt idx="9">
                  <c:v>6332</c:v>
                </c:pt>
                <c:pt idx="10">
                  <c:v>6501</c:v>
                </c:pt>
                <c:pt idx="11">
                  <c:v>6281</c:v>
                </c:pt>
                <c:pt idx="12">
                  <c:v>6037</c:v>
                </c:pt>
                <c:pt idx="13">
                  <c:v>5759</c:v>
                </c:pt>
                <c:pt idx="14">
                  <c:v>5814</c:v>
                </c:pt>
                <c:pt idx="15">
                  <c:v>5495</c:v>
                </c:pt>
                <c:pt idx="16">
                  <c:v>5340</c:v>
                </c:pt>
                <c:pt idx="17">
                  <c:v>5422</c:v>
                </c:pt>
                <c:pt idx="18">
                  <c:v>5160</c:v>
                </c:pt>
                <c:pt idx="19">
                  <c:v>5246</c:v>
                </c:pt>
                <c:pt idx="20">
                  <c:v>5061</c:v>
                </c:pt>
                <c:pt idx="21">
                  <c:v>5060</c:v>
                </c:pt>
                <c:pt idx="22">
                  <c:v>4966</c:v>
                </c:pt>
                <c:pt idx="23">
                  <c:v>4681</c:v>
                </c:pt>
                <c:pt idx="24">
                  <c:v>4506</c:v>
                </c:pt>
                <c:pt idx="25">
                  <c:v>4100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878757453"/>
        <c:axId val="495685896"/>
      </c:lineChart>
      <c:catAx>
        <c:axId val="87875745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95685896"/>
        <c:crosses val="autoZero"/>
        <c:auto val="1"/>
        <c:lblAlgn val="ctr"/>
        <c:lblOffset val="100"/>
        <c:noMultiLvlLbl val="0"/>
      </c:catAx>
      <c:valAx>
        <c:axId val="495685896"/>
        <c:scaling>
          <c:orientation val="minMax"/>
          <c:max val="8500"/>
          <c:min val="3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7875745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67310</xdr:colOff>
      <xdr:row>4</xdr:row>
      <xdr:rowOff>161290</xdr:rowOff>
    </xdr:from>
    <xdr:to>
      <xdr:col>12</xdr:col>
      <xdr:colOff>328930</xdr:colOff>
      <xdr:row>23</xdr:row>
      <xdr:rowOff>96520</xdr:rowOff>
    </xdr:to>
    <xdr:graphicFrame>
      <xdr:nvGraphicFramePr>
        <xdr:cNvPr id="4" name="图表 3"/>
        <xdr:cNvGraphicFramePr/>
      </xdr:nvGraphicFramePr>
      <xdr:xfrm>
        <a:off x="3018790" y="847090"/>
        <a:ext cx="5748020" cy="31927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868680</xdr:colOff>
      <xdr:row>3</xdr:row>
      <xdr:rowOff>127635</xdr:rowOff>
    </xdr:from>
    <xdr:to>
      <xdr:col>12</xdr:col>
      <xdr:colOff>236220</xdr:colOff>
      <xdr:row>22</xdr:row>
      <xdr:rowOff>61595</xdr:rowOff>
    </xdr:to>
    <xdr:graphicFrame>
      <xdr:nvGraphicFramePr>
        <xdr:cNvPr id="2" name="图表 1"/>
        <xdr:cNvGraphicFramePr/>
      </xdr:nvGraphicFramePr>
      <xdr:xfrm>
        <a:off x="2926080" y="641985"/>
        <a:ext cx="5748020" cy="31915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1"/>
  <sheetViews>
    <sheetView zoomScale="115" zoomScaleNormal="115" workbookViewId="0">
      <selection activeCell="A1" sqref="$A1:$XFD1048576"/>
    </sheetView>
  </sheetViews>
  <sheetFormatPr defaultColWidth="9" defaultRowHeight="13.5"/>
  <cols>
    <col min="1" max="1" width="9" style="29"/>
    <col min="2" max="2" width="13.75" style="29"/>
    <col min="3" max="16384" width="9" style="29"/>
  </cols>
  <sheetData>
    <row r="1" ht="14.25" spans="1:13">
      <c r="A1" s="1"/>
      <c r="B1" s="30" t="s">
        <v>0</v>
      </c>
      <c r="C1" s="30" t="s">
        <v>1</v>
      </c>
      <c r="D1" s="30" t="s">
        <v>2</v>
      </c>
      <c r="E1" s="30" t="s">
        <v>3</v>
      </c>
      <c r="F1" s="30" t="s">
        <v>4</v>
      </c>
      <c r="G1" s="30" t="s">
        <v>5</v>
      </c>
      <c r="H1" s="30" t="s">
        <v>6</v>
      </c>
      <c r="I1" s="30" t="s">
        <v>7</v>
      </c>
      <c r="J1" s="30" t="s">
        <v>8</v>
      </c>
      <c r="K1" s="30" t="s">
        <v>9</v>
      </c>
      <c r="M1" s="29">
        <v>4000</v>
      </c>
    </row>
    <row r="2" spans="1:13">
      <c r="A2" s="31" t="s">
        <v>10</v>
      </c>
      <c r="B2" s="6">
        <f>M2-M1</f>
        <v>675</v>
      </c>
      <c r="C2" s="7">
        <v>1</v>
      </c>
      <c r="D2" s="7">
        <v>0</v>
      </c>
      <c r="E2" s="7">
        <v>1</v>
      </c>
      <c r="F2" s="7">
        <v>0</v>
      </c>
      <c r="G2" s="7">
        <v>0</v>
      </c>
      <c r="H2" s="7">
        <v>1</v>
      </c>
      <c r="I2" s="7">
        <v>0</v>
      </c>
      <c r="J2" s="7">
        <v>1</v>
      </c>
      <c r="K2" s="19">
        <v>16401</v>
      </c>
      <c r="L2" s="32"/>
      <c r="M2" s="29">
        <v>4675</v>
      </c>
    </row>
    <row r="3" spans="1:13">
      <c r="A3" s="31" t="s">
        <v>11</v>
      </c>
      <c r="B3" s="9">
        <f t="shared" ref="B3:B26" si="0">M3-M2</f>
        <v>700</v>
      </c>
      <c r="C3" s="10">
        <v>1</v>
      </c>
      <c r="D3" s="10">
        <v>0</v>
      </c>
      <c r="E3" s="10">
        <v>1</v>
      </c>
      <c r="F3" s="10">
        <v>0</v>
      </c>
      <c r="G3" s="10">
        <v>1</v>
      </c>
      <c r="H3" s="10">
        <v>0</v>
      </c>
      <c r="I3" s="10">
        <v>1</v>
      </c>
      <c r="J3" s="10">
        <v>1</v>
      </c>
      <c r="K3" s="21">
        <v>17901</v>
      </c>
      <c r="L3" s="32"/>
      <c r="M3" s="29">
        <v>5375</v>
      </c>
    </row>
    <row r="4" spans="1:13">
      <c r="A4" s="31" t="s">
        <v>12</v>
      </c>
      <c r="B4" s="9">
        <f t="shared" si="0"/>
        <v>300</v>
      </c>
      <c r="C4" s="10">
        <v>1</v>
      </c>
      <c r="D4" s="10">
        <v>0</v>
      </c>
      <c r="E4" s="10">
        <v>1</v>
      </c>
      <c r="F4" s="10">
        <v>0</v>
      </c>
      <c r="G4" s="10">
        <v>0</v>
      </c>
      <c r="H4" s="10">
        <v>1</v>
      </c>
      <c r="I4" s="10">
        <v>0</v>
      </c>
      <c r="J4" s="10">
        <v>1</v>
      </c>
      <c r="K4" s="21">
        <v>11401</v>
      </c>
      <c r="L4" s="32"/>
      <c r="M4" s="29">
        <v>5675</v>
      </c>
    </row>
    <row r="5" spans="1:13">
      <c r="A5" s="31" t="s">
        <v>13</v>
      </c>
      <c r="B5" s="9">
        <f t="shared" si="0"/>
        <v>-325</v>
      </c>
      <c r="C5" s="10">
        <v>1</v>
      </c>
      <c r="D5" s="10">
        <v>1</v>
      </c>
      <c r="E5" s="10">
        <v>1</v>
      </c>
      <c r="F5" s="10">
        <v>0</v>
      </c>
      <c r="G5" s="10">
        <v>0</v>
      </c>
      <c r="H5" s="10">
        <v>1</v>
      </c>
      <c r="I5" s="10">
        <v>0</v>
      </c>
      <c r="J5" s="10">
        <v>0</v>
      </c>
      <c r="K5" s="21">
        <v>12901</v>
      </c>
      <c r="L5" s="32"/>
      <c r="M5" s="29">
        <v>5350</v>
      </c>
    </row>
    <row r="6" spans="1:13">
      <c r="A6" s="31" t="s">
        <v>14</v>
      </c>
      <c r="B6" s="9">
        <f t="shared" si="0"/>
        <v>-50</v>
      </c>
      <c r="C6" s="10">
        <v>1</v>
      </c>
      <c r="D6" s="10">
        <v>1</v>
      </c>
      <c r="E6" s="10">
        <v>0</v>
      </c>
      <c r="F6" s="10">
        <v>1</v>
      </c>
      <c r="G6" s="10">
        <v>1</v>
      </c>
      <c r="H6" s="10">
        <v>0</v>
      </c>
      <c r="I6" s="10">
        <v>0</v>
      </c>
      <c r="J6" s="10">
        <v>0</v>
      </c>
      <c r="K6" s="21">
        <v>12901</v>
      </c>
      <c r="L6" s="32"/>
      <c r="M6" s="29">
        <v>5300</v>
      </c>
    </row>
    <row r="7" spans="1:13">
      <c r="A7" s="31" t="s">
        <v>15</v>
      </c>
      <c r="B7" s="9">
        <f t="shared" si="0"/>
        <v>850</v>
      </c>
      <c r="C7" s="10">
        <v>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1</v>
      </c>
      <c r="J7" s="10">
        <v>0</v>
      </c>
      <c r="K7" s="21">
        <v>13901</v>
      </c>
      <c r="L7" s="32"/>
      <c r="M7" s="29">
        <v>6150</v>
      </c>
    </row>
    <row r="8" spans="1:13">
      <c r="A8" s="31" t="s">
        <v>16</v>
      </c>
      <c r="B8" s="9">
        <f t="shared" si="0"/>
        <v>-225</v>
      </c>
      <c r="C8" s="10">
        <v>1</v>
      </c>
      <c r="D8" s="10">
        <v>1</v>
      </c>
      <c r="E8" s="10">
        <v>0</v>
      </c>
      <c r="F8" s="10">
        <v>1</v>
      </c>
      <c r="G8" s="10">
        <v>1</v>
      </c>
      <c r="H8" s="10">
        <v>0</v>
      </c>
      <c r="I8" s="10">
        <v>0</v>
      </c>
      <c r="J8" s="10">
        <v>0</v>
      </c>
      <c r="K8" s="21">
        <v>14401</v>
      </c>
      <c r="L8" s="32"/>
      <c r="M8" s="29">
        <v>5925</v>
      </c>
    </row>
    <row r="9" spans="1:13">
      <c r="A9" s="31" t="s">
        <v>17</v>
      </c>
      <c r="B9" s="9">
        <f t="shared" si="0"/>
        <v>675</v>
      </c>
      <c r="C9" s="10">
        <v>1</v>
      </c>
      <c r="D9" s="10">
        <v>0</v>
      </c>
      <c r="E9" s="10">
        <v>0</v>
      </c>
      <c r="F9" s="10">
        <v>1</v>
      </c>
      <c r="G9" s="10">
        <v>1</v>
      </c>
      <c r="H9" s="10">
        <v>0</v>
      </c>
      <c r="I9" s="10">
        <v>1</v>
      </c>
      <c r="J9" s="10">
        <v>0</v>
      </c>
      <c r="K9" s="21">
        <v>15401</v>
      </c>
      <c r="L9" s="32"/>
      <c r="M9" s="29">
        <v>6600</v>
      </c>
    </row>
    <row r="10" spans="1:13">
      <c r="A10" s="31" t="s">
        <v>18</v>
      </c>
      <c r="B10" s="9">
        <f t="shared" si="0"/>
        <v>850</v>
      </c>
      <c r="C10" s="10">
        <v>1</v>
      </c>
      <c r="D10" s="10">
        <v>0</v>
      </c>
      <c r="E10" s="10">
        <v>0</v>
      </c>
      <c r="F10" s="10">
        <v>1</v>
      </c>
      <c r="G10" s="10">
        <v>1</v>
      </c>
      <c r="H10" s="10">
        <v>0</v>
      </c>
      <c r="I10" s="10">
        <v>0</v>
      </c>
      <c r="J10" s="10">
        <v>1</v>
      </c>
      <c r="K10" s="21">
        <v>13901</v>
      </c>
      <c r="L10" s="32"/>
      <c r="M10" s="29">
        <v>7450</v>
      </c>
    </row>
    <row r="11" spans="1:13">
      <c r="A11" s="31" t="s">
        <v>19</v>
      </c>
      <c r="B11" s="9">
        <f t="shared" si="0"/>
        <v>-200</v>
      </c>
      <c r="C11" s="10">
        <v>1</v>
      </c>
      <c r="D11" s="10">
        <v>1</v>
      </c>
      <c r="E11" s="10">
        <v>0</v>
      </c>
      <c r="F11" s="10">
        <v>0</v>
      </c>
      <c r="G11" s="10">
        <v>0</v>
      </c>
      <c r="H11" s="10">
        <v>1</v>
      </c>
      <c r="I11" s="10">
        <v>1</v>
      </c>
      <c r="J11" s="10">
        <v>0</v>
      </c>
      <c r="K11" s="21">
        <v>12401</v>
      </c>
      <c r="L11" s="32"/>
      <c r="M11" s="29">
        <v>7250</v>
      </c>
    </row>
    <row r="12" spans="1:13">
      <c r="A12" s="31" t="s">
        <v>20</v>
      </c>
      <c r="B12" s="9">
        <f t="shared" si="0"/>
        <v>75</v>
      </c>
      <c r="C12" s="10">
        <v>1</v>
      </c>
      <c r="D12" s="10">
        <v>0</v>
      </c>
      <c r="E12" s="10">
        <v>1</v>
      </c>
      <c r="F12" s="10">
        <v>1</v>
      </c>
      <c r="G12" s="10">
        <v>0</v>
      </c>
      <c r="H12" s="10">
        <v>1</v>
      </c>
      <c r="I12" s="10">
        <v>0</v>
      </c>
      <c r="J12" s="10">
        <v>0</v>
      </c>
      <c r="K12" s="21">
        <v>11401</v>
      </c>
      <c r="L12" s="32"/>
      <c r="M12" s="29">
        <v>7325</v>
      </c>
    </row>
    <row r="13" spans="1:13">
      <c r="A13" s="31" t="s">
        <v>21</v>
      </c>
      <c r="B13" s="9">
        <f t="shared" si="0"/>
        <v>-375</v>
      </c>
      <c r="C13" s="10">
        <v>0</v>
      </c>
      <c r="D13" s="10">
        <v>1</v>
      </c>
      <c r="E13" s="10">
        <v>1</v>
      </c>
      <c r="F13" s="10">
        <v>0</v>
      </c>
      <c r="G13" s="10">
        <v>1</v>
      </c>
      <c r="H13" s="10">
        <v>1</v>
      </c>
      <c r="I13" s="10">
        <v>1</v>
      </c>
      <c r="J13" s="10">
        <v>0</v>
      </c>
      <c r="K13" s="21">
        <v>14401</v>
      </c>
      <c r="L13" s="32"/>
      <c r="M13" s="29">
        <v>6950</v>
      </c>
    </row>
    <row r="14" spans="1:13">
      <c r="A14" s="31" t="s">
        <v>22</v>
      </c>
      <c r="B14" s="9">
        <f t="shared" si="0"/>
        <v>-400</v>
      </c>
      <c r="C14" s="10">
        <v>1</v>
      </c>
      <c r="D14" s="10">
        <v>1</v>
      </c>
      <c r="E14" s="10">
        <v>1</v>
      </c>
      <c r="F14" s="10">
        <v>0</v>
      </c>
      <c r="G14" s="10">
        <v>0</v>
      </c>
      <c r="H14" s="10">
        <v>0</v>
      </c>
      <c r="I14" s="10">
        <v>1</v>
      </c>
      <c r="J14" s="10">
        <v>0</v>
      </c>
      <c r="K14" s="21">
        <v>11401</v>
      </c>
      <c r="L14" s="32"/>
      <c r="M14" s="29">
        <v>6550</v>
      </c>
    </row>
    <row r="15" spans="1:13">
      <c r="A15" s="31" t="s">
        <v>23</v>
      </c>
      <c r="B15" s="9">
        <f t="shared" si="0"/>
        <v>150</v>
      </c>
      <c r="C15" s="10">
        <v>1</v>
      </c>
      <c r="D15" s="10">
        <v>1</v>
      </c>
      <c r="E15" s="10">
        <v>0</v>
      </c>
      <c r="F15" s="10">
        <v>0</v>
      </c>
      <c r="G15" s="10">
        <v>1</v>
      </c>
      <c r="H15" s="10">
        <v>0</v>
      </c>
      <c r="I15" s="10">
        <v>0</v>
      </c>
      <c r="J15" s="10">
        <v>1</v>
      </c>
      <c r="K15" s="21">
        <v>12401</v>
      </c>
      <c r="L15" s="32"/>
      <c r="M15" s="29">
        <v>6700</v>
      </c>
    </row>
    <row r="16" spans="1:13">
      <c r="A16" s="31" t="s">
        <v>24</v>
      </c>
      <c r="B16" s="9">
        <f t="shared" si="0"/>
        <v>-425</v>
      </c>
      <c r="C16" s="10">
        <v>0</v>
      </c>
      <c r="D16" s="10">
        <v>1</v>
      </c>
      <c r="E16" s="10">
        <v>1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21">
        <v>15901</v>
      </c>
      <c r="L16" s="32"/>
      <c r="M16" s="29">
        <v>6275</v>
      </c>
    </row>
    <row r="17" spans="1:13">
      <c r="A17" s="31" t="s">
        <v>25</v>
      </c>
      <c r="B17" s="9">
        <f t="shared" si="0"/>
        <v>375</v>
      </c>
      <c r="C17" s="10">
        <v>1</v>
      </c>
      <c r="D17" s="10">
        <v>0</v>
      </c>
      <c r="E17" s="10">
        <v>1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21">
        <v>10401</v>
      </c>
      <c r="L17" s="32"/>
      <c r="M17" s="29">
        <v>6650</v>
      </c>
    </row>
    <row r="18" spans="1:13">
      <c r="A18" s="31" t="s">
        <v>26</v>
      </c>
      <c r="B18" s="9">
        <f t="shared" si="0"/>
        <v>-200</v>
      </c>
      <c r="C18" s="10">
        <v>0</v>
      </c>
      <c r="D18" s="10">
        <v>1</v>
      </c>
      <c r="E18" s="10">
        <v>1</v>
      </c>
      <c r="F18" s="10">
        <v>1</v>
      </c>
      <c r="G18" s="10">
        <v>0</v>
      </c>
      <c r="H18" s="10">
        <v>0</v>
      </c>
      <c r="I18" s="10">
        <v>1</v>
      </c>
      <c r="J18" s="10">
        <v>0</v>
      </c>
      <c r="K18" s="21">
        <v>11401</v>
      </c>
      <c r="L18" s="32"/>
      <c r="M18" s="29">
        <v>6450</v>
      </c>
    </row>
    <row r="19" spans="1:13">
      <c r="A19" s="31" t="s">
        <v>27</v>
      </c>
      <c r="B19" s="9">
        <f t="shared" si="0"/>
        <v>-25</v>
      </c>
      <c r="C19" s="10">
        <v>1</v>
      </c>
      <c r="D19" s="10">
        <v>1</v>
      </c>
      <c r="E19" s="10">
        <v>0</v>
      </c>
      <c r="F19" s="10">
        <v>0</v>
      </c>
      <c r="G19" s="10">
        <v>0</v>
      </c>
      <c r="H19" s="10">
        <v>0</v>
      </c>
      <c r="I19" s="10">
        <v>1</v>
      </c>
      <c r="J19" s="10">
        <v>1</v>
      </c>
      <c r="K19" s="21">
        <v>13901</v>
      </c>
      <c r="L19" s="32"/>
      <c r="M19" s="29">
        <v>6425</v>
      </c>
    </row>
    <row r="20" spans="1:13">
      <c r="A20" s="31" t="s">
        <v>28</v>
      </c>
      <c r="B20" s="9">
        <f t="shared" si="0"/>
        <v>175</v>
      </c>
      <c r="C20" s="10">
        <v>0</v>
      </c>
      <c r="D20" s="10">
        <v>1</v>
      </c>
      <c r="E20" s="10">
        <v>1</v>
      </c>
      <c r="F20" s="10">
        <v>1</v>
      </c>
      <c r="G20" s="10">
        <v>0</v>
      </c>
      <c r="H20" s="10">
        <v>0</v>
      </c>
      <c r="I20" s="10">
        <v>0</v>
      </c>
      <c r="J20" s="10">
        <v>1</v>
      </c>
      <c r="K20" s="21">
        <v>13401</v>
      </c>
      <c r="L20" s="32"/>
      <c r="M20" s="29">
        <v>6600</v>
      </c>
    </row>
    <row r="21" spans="1:13">
      <c r="A21" s="31" t="s">
        <v>29</v>
      </c>
      <c r="B21" s="9">
        <f t="shared" si="0"/>
        <v>25</v>
      </c>
      <c r="C21" s="10">
        <v>1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1</v>
      </c>
      <c r="J21" s="10">
        <v>1</v>
      </c>
      <c r="K21" s="21">
        <v>13901</v>
      </c>
      <c r="L21" s="32"/>
      <c r="M21" s="29">
        <v>6625</v>
      </c>
    </row>
    <row r="22" spans="1:13">
      <c r="A22" s="31" t="s">
        <v>30</v>
      </c>
      <c r="B22" s="9">
        <f t="shared" si="0"/>
        <v>100</v>
      </c>
      <c r="C22" s="10">
        <v>1</v>
      </c>
      <c r="D22" s="10">
        <v>1</v>
      </c>
      <c r="E22" s="10">
        <v>0</v>
      </c>
      <c r="F22" s="10">
        <v>1</v>
      </c>
      <c r="G22" s="10">
        <v>1</v>
      </c>
      <c r="H22" s="10">
        <v>0</v>
      </c>
      <c r="I22" s="10">
        <v>1</v>
      </c>
      <c r="J22" s="10">
        <v>0</v>
      </c>
      <c r="K22" s="21">
        <v>13901</v>
      </c>
      <c r="L22" s="32"/>
      <c r="M22" s="29">
        <v>6725</v>
      </c>
    </row>
    <row r="23" spans="1:13">
      <c r="A23" s="31" t="s">
        <v>31</v>
      </c>
      <c r="B23" s="9">
        <f t="shared" si="0"/>
        <v>-375</v>
      </c>
      <c r="C23" s="10">
        <v>1</v>
      </c>
      <c r="D23" s="10">
        <v>1</v>
      </c>
      <c r="E23" s="10">
        <v>0</v>
      </c>
      <c r="F23" s="10">
        <v>1</v>
      </c>
      <c r="G23" s="10">
        <v>0</v>
      </c>
      <c r="H23" s="10">
        <v>0</v>
      </c>
      <c r="I23" s="10">
        <v>0</v>
      </c>
      <c r="J23" s="10">
        <v>1</v>
      </c>
      <c r="K23" s="21">
        <v>12901</v>
      </c>
      <c r="L23" s="32"/>
      <c r="M23" s="29">
        <v>6350</v>
      </c>
    </row>
    <row r="24" s="29" customFormat="1" spans="1:13">
      <c r="A24" s="31" t="s">
        <v>32</v>
      </c>
      <c r="B24" s="9">
        <f t="shared" si="0"/>
        <v>800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1</v>
      </c>
      <c r="I24" s="10">
        <v>1</v>
      </c>
      <c r="J24" s="10">
        <v>1</v>
      </c>
      <c r="K24" s="21">
        <v>13401</v>
      </c>
      <c r="L24" s="32"/>
      <c r="M24" s="29">
        <v>7150</v>
      </c>
    </row>
    <row r="25" spans="1:13">
      <c r="A25" s="31" t="s">
        <v>33</v>
      </c>
      <c r="B25" s="9">
        <f t="shared" si="0"/>
        <v>175</v>
      </c>
      <c r="C25" s="10">
        <v>0</v>
      </c>
      <c r="D25" s="10">
        <v>1</v>
      </c>
      <c r="E25" s="10">
        <v>1</v>
      </c>
      <c r="F25" s="10">
        <v>1</v>
      </c>
      <c r="G25" s="10">
        <v>1</v>
      </c>
      <c r="H25" s="10">
        <v>0</v>
      </c>
      <c r="I25" s="10">
        <v>1</v>
      </c>
      <c r="J25" s="10">
        <v>0</v>
      </c>
      <c r="K25" s="21">
        <v>16401</v>
      </c>
      <c r="L25" s="32"/>
      <c r="M25" s="29">
        <v>7325</v>
      </c>
    </row>
    <row r="26" ht="14.25" spans="1:14">
      <c r="A26" s="31" t="s">
        <v>34</v>
      </c>
      <c r="B26" s="11">
        <f t="shared" si="0"/>
        <v>-425</v>
      </c>
      <c r="C26" s="12">
        <v>1</v>
      </c>
      <c r="D26" s="12">
        <v>1</v>
      </c>
      <c r="E26" s="12">
        <v>1</v>
      </c>
      <c r="F26" s="12">
        <v>1</v>
      </c>
      <c r="G26" s="12">
        <v>0</v>
      </c>
      <c r="H26" s="12">
        <v>0</v>
      </c>
      <c r="I26" s="12">
        <v>1</v>
      </c>
      <c r="J26" s="12">
        <v>0</v>
      </c>
      <c r="K26" s="22">
        <v>11401</v>
      </c>
      <c r="L26" s="32"/>
      <c r="M26" s="29">
        <v>6900</v>
      </c>
      <c r="N26" s="29">
        <v>8000</v>
      </c>
    </row>
    <row r="27" spans="1:14">
      <c r="A27" s="31" t="s">
        <v>10</v>
      </c>
      <c r="B27" s="6">
        <f>N27-N26</f>
        <v>25</v>
      </c>
      <c r="C27" s="7">
        <v>1</v>
      </c>
      <c r="D27" s="7">
        <v>1</v>
      </c>
      <c r="E27" s="7">
        <v>0</v>
      </c>
      <c r="F27" s="7">
        <v>1</v>
      </c>
      <c r="G27" s="7">
        <v>1</v>
      </c>
      <c r="H27" s="7">
        <v>0</v>
      </c>
      <c r="I27" s="7">
        <v>1</v>
      </c>
      <c r="J27" s="7">
        <v>1</v>
      </c>
      <c r="K27" s="19">
        <v>13901</v>
      </c>
      <c r="L27" s="32"/>
      <c r="N27" s="29">
        <v>8025</v>
      </c>
    </row>
    <row r="28" spans="1:14">
      <c r="A28" s="31" t="s">
        <v>11</v>
      </c>
      <c r="B28" s="9">
        <f t="shared" ref="B28:B51" si="1">N28-N27</f>
        <v>-100</v>
      </c>
      <c r="C28" s="10">
        <v>1</v>
      </c>
      <c r="D28" s="10">
        <v>1</v>
      </c>
      <c r="E28" s="10">
        <v>0</v>
      </c>
      <c r="F28" s="10">
        <v>1</v>
      </c>
      <c r="G28" s="10">
        <v>0</v>
      </c>
      <c r="H28" s="10">
        <v>1</v>
      </c>
      <c r="I28" s="10">
        <v>0</v>
      </c>
      <c r="J28" s="10">
        <v>1</v>
      </c>
      <c r="K28" s="21">
        <v>9901</v>
      </c>
      <c r="L28" s="32"/>
      <c r="N28" s="29">
        <v>7925</v>
      </c>
    </row>
    <row r="29" spans="1:14">
      <c r="A29" s="31" t="s">
        <v>12</v>
      </c>
      <c r="B29" s="9">
        <f t="shared" si="1"/>
        <v>-75</v>
      </c>
      <c r="C29" s="10">
        <v>1</v>
      </c>
      <c r="D29" s="10">
        <v>1</v>
      </c>
      <c r="E29" s="10">
        <v>0</v>
      </c>
      <c r="F29" s="10">
        <v>1</v>
      </c>
      <c r="G29" s="10">
        <v>0</v>
      </c>
      <c r="H29" s="10">
        <v>0</v>
      </c>
      <c r="I29" s="10">
        <v>1</v>
      </c>
      <c r="J29" s="10">
        <v>1</v>
      </c>
      <c r="K29" s="21">
        <v>13401</v>
      </c>
      <c r="L29" s="32"/>
      <c r="N29" s="29">
        <v>7850</v>
      </c>
    </row>
    <row r="30" spans="1:14">
      <c r="A30" s="31" t="s">
        <v>13</v>
      </c>
      <c r="B30" s="9">
        <f t="shared" si="1"/>
        <v>-125</v>
      </c>
      <c r="C30" s="10">
        <v>1</v>
      </c>
      <c r="D30" s="10">
        <v>1</v>
      </c>
      <c r="E30" s="10">
        <v>1</v>
      </c>
      <c r="F30" s="10">
        <v>1</v>
      </c>
      <c r="G30" s="10">
        <v>0</v>
      </c>
      <c r="H30" s="10">
        <v>0</v>
      </c>
      <c r="I30" s="10">
        <v>1</v>
      </c>
      <c r="J30" s="10">
        <v>1</v>
      </c>
      <c r="K30" s="21">
        <v>12901</v>
      </c>
      <c r="L30" s="32"/>
      <c r="N30" s="29">
        <v>7725</v>
      </c>
    </row>
    <row r="31" spans="1:14">
      <c r="A31" s="31" t="s">
        <v>14</v>
      </c>
      <c r="B31" s="9">
        <f t="shared" si="1"/>
        <v>-375</v>
      </c>
      <c r="C31" s="10">
        <v>1</v>
      </c>
      <c r="D31" s="10">
        <v>1</v>
      </c>
      <c r="E31" s="10">
        <v>1</v>
      </c>
      <c r="F31" s="10">
        <v>1</v>
      </c>
      <c r="G31" s="10">
        <v>0</v>
      </c>
      <c r="H31" s="10">
        <v>0</v>
      </c>
      <c r="I31" s="10">
        <v>1</v>
      </c>
      <c r="J31" s="10">
        <v>0</v>
      </c>
      <c r="K31" s="21">
        <v>12401</v>
      </c>
      <c r="L31" s="32"/>
      <c r="N31" s="29">
        <v>7350</v>
      </c>
    </row>
    <row r="32" spans="1:14">
      <c r="A32" s="31" t="s">
        <v>15</v>
      </c>
      <c r="B32" s="9">
        <f t="shared" si="1"/>
        <v>-425</v>
      </c>
      <c r="C32" s="10">
        <v>1</v>
      </c>
      <c r="D32" s="10">
        <v>1</v>
      </c>
      <c r="E32" s="10">
        <v>1</v>
      </c>
      <c r="F32" s="10">
        <v>0</v>
      </c>
      <c r="G32" s="10">
        <v>0</v>
      </c>
      <c r="H32" s="10">
        <v>1</v>
      </c>
      <c r="I32" s="10">
        <v>1</v>
      </c>
      <c r="J32" s="10">
        <v>1</v>
      </c>
      <c r="K32" s="21">
        <v>13901</v>
      </c>
      <c r="L32" s="32"/>
      <c r="N32" s="29">
        <v>6925</v>
      </c>
    </row>
    <row r="33" spans="1:14">
      <c r="A33" s="31" t="s">
        <v>16</v>
      </c>
      <c r="B33" s="9">
        <f t="shared" si="1"/>
        <v>-175</v>
      </c>
      <c r="C33" s="10">
        <v>1</v>
      </c>
      <c r="D33" s="10">
        <v>1</v>
      </c>
      <c r="E33" s="10">
        <v>1</v>
      </c>
      <c r="F33" s="10">
        <v>1</v>
      </c>
      <c r="G33" s="10">
        <v>0</v>
      </c>
      <c r="H33" s="10">
        <v>1</v>
      </c>
      <c r="I33" s="10">
        <v>0</v>
      </c>
      <c r="J33" s="10">
        <v>1</v>
      </c>
      <c r="K33" s="21">
        <v>15401</v>
      </c>
      <c r="L33" s="32"/>
      <c r="N33" s="29">
        <v>6750</v>
      </c>
    </row>
    <row r="34" spans="1:14">
      <c r="A34" s="31" t="s">
        <v>17</v>
      </c>
      <c r="B34" s="9">
        <f t="shared" si="1"/>
        <v>125</v>
      </c>
      <c r="C34" s="10">
        <v>0</v>
      </c>
      <c r="D34" s="10">
        <v>1</v>
      </c>
      <c r="E34" s="10">
        <v>1</v>
      </c>
      <c r="F34" s="10">
        <v>1</v>
      </c>
      <c r="G34" s="10">
        <v>0</v>
      </c>
      <c r="H34" s="10">
        <v>0</v>
      </c>
      <c r="I34" s="10">
        <v>1</v>
      </c>
      <c r="J34" s="10">
        <v>1</v>
      </c>
      <c r="K34" s="21">
        <v>13901</v>
      </c>
      <c r="L34" s="32"/>
      <c r="N34" s="29">
        <v>6875</v>
      </c>
    </row>
    <row r="35" spans="1:14">
      <c r="A35" s="31" t="s">
        <v>18</v>
      </c>
      <c r="B35" s="9">
        <f t="shared" si="1"/>
        <v>-300</v>
      </c>
      <c r="C35" s="10">
        <v>1</v>
      </c>
      <c r="D35" s="10">
        <v>1</v>
      </c>
      <c r="E35" s="10">
        <v>1</v>
      </c>
      <c r="F35" s="10">
        <v>1</v>
      </c>
      <c r="G35" s="10">
        <v>0</v>
      </c>
      <c r="H35" s="10">
        <v>1</v>
      </c>
      <c r="I35" s="10">
        <v>0</v>
      </c>
      <c r="J35" s="10">
        <v>1</v>
      </c>
      <c r="K35" s="21">
        <v>15401</v>
      </c>
      <c r="L35" s="32"/>
      <c r="N35" s="29">
        <v>6575</v>
      </c>
    </row>
    <row r="36" s="29" customFormat="1" spans="1:14">
      <c r="A36" s="31" t="s">
        <v>19</v>
      </c>
      <c r="B36" s="9">
        <f t="shared" si="1"/>
        <v>-25</v>
      </c>
      <c r="C36" s="10">
        <v>0</v>
      </c>
      <c r="D36" s="10">
        <v>1</v>
      </c>
      <c r="E36" s="10">
        <v>0</v>
      </c>
      <c r="F36" s="10">
        <v>1</v>
      </c>
      <c r="G36" s="10">
        <v>0</v>
      </c>
      <c r="H36" s="10">
        <v>0</v>
      </c>
      <c r="I36" s="10">
        <v>1</v>
      </c>
      <c r="J36" s="10">
        <v>1</v>
      </c>
      <c r="K36" s="21">
        <v>15401</v>
      </c>
      <c r="L36" s="32"/>
      <c r="N36" s="29">
        <v>6550</v>
      </c>
    </row>
    <row r="37" spans="1:14">
      <c r="A37" s="31" t="s">
        <v>20</v>
      </c>
      <c r="B37" s="9">
        <f t="shared" si="1"/>
        <v>-125</v>
      </c>
      <c r="C37" s="10">
        <v>1</v>
      </c>
      <c r="D37" s="10">
        <v>1</v>
      </c>
      <c r="E37" s="10">
        <v>1</v>
      </c>
      <c r="F37" s="10">
        <v>0</v>
      </c>
      <c r="G37" s="10">
        <v>0</v>
      </c>
      <c r="H37" s="10">
        <v>0</v>
      </c>
      <c r="I37" s="10">
        <v>1</v>
      </c>
      <c r="J37" s="10">
        <v>1</v>
      </c>
      <c r="K37" s="21">
        <v>12901</v>
      </c>
      <c r="L37" s="32"/>
      <c r="N37" s="29">
        <v>6425</v>
      </c>
    </row>
    <row r="38" spans="1:14">
      <c r="A38" s="31" t="s">
        <v>21</v>
      </c>
      <c r="B38" s="9">
        <f t="shared" si="1"/>
        <v>-150</v>
      </c>
      <c r="C38" s="10">
        <v>1</v>
      </c>
      <c r="D38" s="10">
        <v>1</v>
      </c>
      <c r="E38" s="10">
        <v>0</v>
      </c>
      <c r="F38" s="10">
        <v>1</v>
      </c>
      <c r="G38" s="10">
        <v>0</v>
      </c>
      <c r="H38" s="10">
        <v>1</v>
      </c>
      <c r="I38" s="10">
        <v>0</v>
      </c>
      <c r="J38" s="10">
        <v>0</v>
      </c>
      <c r="K38" s="21">
        <v>12901</v>
      </c>
      <c r="L38" s="32"/>
      <c r="N38" s="29">
        <v>6275</v>
      </c>
    </row>
    <row r="39" spans="1:14">
      <c r="A39" s="31" t="s">
        <v>22</v>
      </c>
      <c r="B39" s="9">
        <f t="shared" si="1"/>
        <v>-550</v>
      </c>
      <c r="C39" s="10">
        <v>1</v>
      </c>
      <c r="D39" s="10">
        <v>1</v>
      </c>
      <c r="E39" s="10">
        <v>1</v>
      </c>
      <c r="F39" s="10">
        <v>0</v>
      </c>
      <c r="G39" s="10">
        <v>1</v>
      </c>
      <c r="H39" s="10">
        <v>1</v>
      </c>
      <c r="I39" s="10">
        <v>1</v>
      </c>
      <c r="J39" s="10">
        <v>1</v>
      </c>
      <c r="K39" s="21">
        <v>14401</v>
      </c>
      <c r="L39" s="32"/>
      <c r="N39" s="29">
        <v>5725</v>
      </c>
    </row>
    <row r="40" s="29" customFormat="1" spans="1:14">
      <c r="A40" s="31" t="s">
        <v>23</v>
      </c>
      <c r="B40" s="9">
        <f t="shared" si="1"/>
        <v>-75</v>
      </c>
      <c r="C40" s="10">
        <v>0</v>
      </c>
      <c r="D40" s="10">
        <v>1</v>
      </c>
      <c r="E40" s="10">
        <v>0</v>
      </c>
      <c r="F40" s="10">
        <v>1</v>
      </c>
      <c r="G40" s="10">
        <v>0</v>
      </c>
      <c r="H40" s="10">
        <v>0</v>
      </c>
      <c r="I40" s="10">
        <v>1</v>
      </c>
      <c r="J40" s="10">
        <v>0</v>
      </c>
      <c r="K40" s="21">
        <v>14901</v>
      </c>
      <c r="L40" s="32"/>
      <c r="N40" s="29">
        <v>5650</v>
      </c>
    </row>
    <row r="41" spans="1:14">
      <c r="A41" s="31" t="s">
        <v>24</v>
      </c>
      <c r="B41" s="9">
        <f t="shared" si="1"/>
        <v>-250</v>
      </c>
      <c r="C41" s="10">
        <v>1</v>
      </c>
      <c r="D41" s="10">
        <v>1</v>
      </c>
      <c r="E41" s="10">
        <v>1</v>
      </c>
      <c r="F41" s="10">
        <v>1</v>
      </c>
      <c r="G41" s="10">
        <v>1</v>
      </c>
      <c r="H41" s="10">
        <v>0</v>
      </c>
      <c r="I41" s="10">
        <v>0</v>
      </c>
      <c r="J41" s="10">
        <v>0</v>
      </c>
      <c r="K41" s="21">
        <v>12901</v>
      </c>
      <c r="L41" s="32"/>
      <c r="N41" s="29">
        <v>5400</v>
      </c>
    </row>
    <row r="42" spans="1:14">
      <c r="A42" s="31" t="s">
        <v>25</v>
      </c>
      <c r="B42" s="9">
        <f t="shared" si="1"/>
        <v>-250</v>
      </c>
      <c r="C42" s="10">
        <v>1</v>
      </c>
      <c r="D42" s="10">
        <v>1</v>
      </c>
      <c r="E42" s="10">
        <v>0</v>
      </c>
      <c r="F42" s="10">
        <v>1</v>
      </c>
      <c r="G42" s="10">
        <v>0</v>
      </c>
      <c r="H42" s="10">
        <v>0</v>
      </c>
      <c r="I42" s="10">
        <v>0</v>
      </c>
      <c r="J42" s="10">
        <v>1</v>
      </c>
      <c r="K42" s="21">
        <v>8901</v>
      </c>
      <c r="L42" s="32"/>
      <c r="N42" s="29">
        <v>5150</v>
      </c>
    </row>
    <row r="43" s="29" customFormat="1" spans="1:14">
      <c r="A43" s="31" t="s">
        <v>26</v>
      </c>
      <c r="B43" s="9">
        <f t="shared" si="1"/>
        <v>-100</v>
      </c>
      <c r="C43" s="10">
        <v>0</v>
      </c>
      <c r="D43" s="10">
        <v>1</v>
      </c>
      <c r="E43" s="10">
        <v>0</v>
      </c>
      <c r="F43" s="10">
        <v>1</v>
      </c>
      <c r="G43" s="10">
        <v>1</v>
      </c>
      <c r="H43" s="10">
        <v>1</v>
      </c>
      <c r="I43" s="10">
        <v>0</v>
      </c>
      <c r="J43" s="10">
        <v>1</v>
      </c>
      <c r="K43" s="21">
        <v>15901</v>
      </c>
      <c r="L43" s="32"/>
      <c r="N43" s="29">
        <v>5050</v>
      </c>
    </row>
    <row r="44" spans="1:14">
      <c r="A44" s="31" t="s">
        <v>27</v>
      </c>
      <c r="B44" s="9">
        <f t="shared" si="1"/>
        <v>-250</v>
      </c>
      <c r="C44" s="10">
        <v>0</v>
      </c>
      <c r="D44" s="10">
        <v>1</v>
      </c>
      <c r="E44" s="10">
        <v>1</v>
      </c>
      <c r="F44" s="10">
        <v>1</v>
      </c>
      <c r="G44" s="10">
        <v>1</v>
      </c>
      <c r="H44" s="10">
        <v>1</v>
      </c>
      <c r="I44" s="10">
        <v>0</v>
      </c>
      <c r="J44" s="10">
        <v>0</v>
      </c>
      <c r="K44" s="21">
        <v>13401</v>
      </c>
      <c r="L44" s="32"/>
      <c r="N44" s="29">
        <v>4800</v>
      </c>
    </row>
    <row r="45" s="29" customFormat="1" spans="1:14">
      <c r="A45" s="31" t="s">
        <v>28</v>
      </c>
      <c r="B45" s="9">
        <f t="shared" si="1"/>
        <v>100</v>
      </c>
      <c r="C45" s="10">
        <v>0</v>
      </c>
      <c r="D45" s="10">
        <v>1</v>
      </c>
      <c r="E45" s="10">
        <v>0</v>
      </c>
      <c r="F45" s="10">
        <v>0</v>
      </c>
      <c r="G45" s="10">
        <v>1</v>
      </c>
      <c r="H45" s="10">
        <v>0</v>
      </c>
      <c r="I45" s="10">
        <v>0</v>
      </c>
      <c r="J45" s="10">
        <v>1</v>
      </c>
      <c r="K45" s="21">
        <v>12401</v>
      </c>
      <c r="L45" s="32"/>
      <c r="N45" s="29">
        <v>4900</v>
      </c>
    </row>
    <row r="46" spans="1:14">
      <c r="A46" s="31" t="s">
        <v>29</v>
      </c>
      <c r="B46" s="9">
        <f t="shared" si="1"/>
        <v>-200</v>
      </c>
      <c r="C46" s="10">
        <v>1</v>
      </c>
      <c r="D46" s="10">
        <v>1</v>
      </c>
      <c r="E46" s="10">
        <v>0</v>
      </c>
      <c r="F46" s="10">
        <v>0</v>
      </c>
      <c r="G46" s="10">
        <v>1</v>
      </c>
      <c r="H46" s="10">
        <v>1</v>
      </c>
      <c r="I46" s="10">
        <v>0</v>
      </c>
      <c r="J46" s="10">
        <v>1</v>
      </c>
      <c r="K46" s="21">
        <v>11401</v>
      </c>
      <c r="L46" s="32"/>
      <c r="N46" s="29">
        <v>4700</v>
      </c>
    </row>
    <row r="47" s="29" customFormat="1" spans="1:14">
      <c r="A47" s="31" t="s">
        <v>30</v>
      </c>
      <c r="B47" s="9">
        <f t="shared" si="1"/>
        <v>100</v>
      </c>
      <c r="C47" s="10">
        <v>0</v>
      </c>
      <c r="D47" s="10">
        <v>1</v>
      </c>
      <c r="E47" s="10">
        <v>0</v>
      </c>
      <c r="F47" s="10">
        <v>1</v>
      </c>
      <c r="G47" s="10">
        <v>0</v>
      </c>
      <c r="H47" s="10">
        <v>1</v>
      </c>
      <c r="I47" s="10">
        <v>1</v>
      </c>
      <c r="J47" s="10">
        <v>1</v>
      </c>
      <c r="K47" s="21">
        <v>12901</v>
      </c>
      <c r="L47" s="32"/>
      <c r="N47" s="29">
        <v>4800</v>
      </c>
    </row>
    <row r="48" spans="1:14">
      <c r="A48" s="31" t="s">
        <v>31</v>
      </c>
      <c r="B48" s="9">
        <f t="shared" si="1"/>
        <v>275</v>
      </c>
      <c r="C48" s="10">
        <v>0</v>
      </c>
      <c r="D48" s="10">
        <v>1</v>
      </c>
      <c r="E48" s="10">
        <v>1</v>
      </c>
      <c r="F48" s="10">
        <v>1</v>
      </c>
      <c r="G48" s="10">
        <v>1</v>
      </c>
      <c r="H48" s="10">
        <v>1</v>
      </c>
      <c r="I48" s="10">
        <v>0</v>
      </c>
      <c r="J48" s="10">
        <v>1</v>
      </c>
      <c r="K48" s="21">
        <v>15901</v>
      </c>
      <c r="L48" s="32"/>
      <c r="N48" s="29">
        <v>5075</v>
      </c>
    </row>
    <row r="49" spans="1:14">
      <c r="A49" s="31" t="s">
        <v>32</v>
      </c>
      <c r="B49" s="9">
        <f t="shared" si="1"/>
        <v>-50</v>
      </c>
      <c r="C49" s="10">
        <v>1</v>
      </c>
      <c r="D49" s="10">
        <v>1</v>
      </c>
      <c r="E49" s="10">
        <v>0</v>
      </c>
      <c r="F49" s="10">
        <v>1</v>
      </c>
      <c r="G49" s="10">
        <v>0</v>
      </c>
      <c r="H49" s="10">
        <v>1</v>
      </c>
      <c r="I49" s="10">
        <v>0</v>
      </c>
      <c r="J49" s="10">
        <v>0</v>
      </c>
      <c r="K49" s="21">
        <v>11401</v>
      </c>
      <c r="L49" s="32"/>
      <c r="N49" s="29">
        <v>5025</v>
      </c>
    </row>
    <row r="50" spans="1:14">
      <c r="A50" s="31" t="s">
        <v>33</v>
      </c>
      <c r="B50" s="9">
        <f t="shared" si="1"/>
        <v>-200</v>
      </c>
      <c r="C50" s="10">
        <v>1</v>
      </c>
      <c r="D50" s="10">
        <v>1</v>
      </c>
      <c r="E50" s="10">
        <v>0</v>
      </c>
      <c r="F50" s="10">
        <v>0</v>
      </c>
      <c r="G50" s="10">
        <v>1</v>
      </c>
      <c r="H50" s="10">
        <v>1</v>
      </c>
      <c r="I50" s="10">
        <v>0</v>
      </c>
      <c r="J50" s="10">
        <v>0</v>
      </c>
      <c r="K50" s="21">
        <v>15401</v>
      </c>
      <c r="L50" s="32"/>
      <c r="N50" s="29">
        <v>4825</v>
      </c>
    </row>
    <row r="51" ht="14.25" spans="1:14">
      <c r="A51" s="31" t="s">
        <v>34</v>
      </c>
      <c r="B51" s="11">
        <f t="shared" si="1"/>
        <v>-250</v>
      </c>
      <c r="C51" s="12">
        <v>1</v>
      </c>
      <c r="D51" s="12">
        <v>1</v>
      </c>
      <c r="E51" s="12">
        <v>1</v>
      </c>
      <c r="F51" s="12">
        <v>1</v>
      </c>
      <c r="G51" s="12">
        <v>0</v>
      </c>
      <c r="H51" s="12">
        <v>1</v>
      </c>
      <c r="I51" s="12">
        <v>0</v>
      </c>
      <c r="J51" s="12">
        <v>0</v>
      </c>
      <c r="K51" s="22">
        <v>13401</v>
      </c>
      <c r="L51" s="32"/>
      <c r="N51" s="29">
        <v>4575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F6"/>
  <sheetViews>
    <sheetView tabSelected="1" zoomScale="210" zoomScaleNormal="210" workbookViewId="0">
      <selection activeCell="F6" sqref="F6"/>
    </sheetView>
  </sheetViews>
  <sheetFormatPr defaultColWidth="9" defaultRowHeight="13.5" outlineLevelRow="5" outlineLevelCol="5"/>
  <cols>
    <col min="1" max="1" width="9" style="26"/>
    <col min="2" max="2" width="8.34166666666667" style="26" customWidth="1"/>
    <col min="3" max="3" width="2.85" style="26" customWidth="1"/>
    <col min="4" max="6" width="7.21666666666667" style="26" customWidth="1"/>
    <col min="7" max="16384" width="9" style="26"/>
  </cols>
  <sheetData>
    <row r="2" spans="2:6">
      <c r="B2" s="27"/>
      <c r="C2" s="27"/>
      <c r="D2" s="27" t="s">
        <v>35</v>
      </c>
      <c r="E2" s="27"/>
      <c r="F2" s="27"/>
    </row>
    <row r="3" spans="2:6">
      <c r="B3" s="27"/>
      <c r="C3" s="27"/>
      <c r="D3" s="27" t="s">
        <v>36</v>
      </c>
      <c r="E3" s="27" t="s">
        <v>37</v>
      </c>
      <c r="F3" s="27" t="s">
        <v>38</v>
      </c>
    </row>
    <row r="4" spans="2:6">
      <c r="B4" s="28" t="s">
        <v>39</v>
      </c>
      <c r="C4" s="27">
        <v>4</v>
      </c>
      <c r="D4" s="27">
        <v>0.22</v>
      </c>
      <c r="E4" s="27">
        <v>28.79</v>
      </c>
      <c r="F4" s="27">
        <v>97.7</v>
      </c>
    </row>
    <row r="5" spans="2:6">
      <c r="B5" s="27"/>
      <c r="C5" s="27">
        <v>5</v>
      </c>
      <c r="D5" s="26">
        <v>0.01</v>
      </c>
      <c r="E5" s="27">
        <v>0.85</v>
      </c>
      <c r="F5" s="27">
        <v>10.02</v>
      </c>
    </row>
    <row r="6" spans="2:6">
      <c r="B6" s="27"/>
      <c r="C6" s="27">
        <v>6</v>
      </c>
      <c r="D6" s="27">
        <v>0</v>
      </c>
      <c r="E6" s="27">
        <v>0.03</v>
      </c>
      <c r="F6" s="27">
        <v>0.46</v>
      </c>
    </row>
  </sheetData>
  <mergeCells count="3">
    <mergeCell ref="D2:F2"/>
    <mergeCell ref="B4:B6"/>
    <mergeCell ref="B2:C3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7"/>
  <sheetViews>
    <sheetView zoomScale="90" zoomScaleNormal="90" workbookViewId="0">
      <selection activeCell="D29" sqref="D29"/>
    </sheetView>
  </sheetViews>
  <sheetFormatPr defaultColWidth="9" defaultRowHeight="13.5" outlineLevelCol="3"/>
  <cols>
    <col min="1" max="3" width="9" style="26"/>
    <col min="4" max="4" width="11.7333333333333" style="26" customWidth="1"/>
    <col min="5" max="16384" width="9" style="26"/>
  </cols>
  <sheetData>
    <row r="1" spans="2:4">
      <c r="B1" s="26" t="s">
        <v>40</v>
      </c>
      <c r="C1" s="26" t="b">
        <v>1</v>
      </c>
      <c r="D1" s="26" t="s">
        <v>41</v>
      </c>
    </row>
    <row r="2" spans="3:4">
      <c r="C2" s="26">
        <v>4000</v>
      </c>
      <c r="D2" s="26">
        <v>4000</v>
      </c>
    </row>
    <row r="3" spans="1:4">
      <c r="A3" s="26" t="s">
        <v>10</v>
      </c>
      <c r="B3" s="26">
        <v>675</v>
      </c>
      <c r="C3" s="26">
        <f>C2+B3-16</f>
        <v>4659</v>
      </c>
      <c r="D3" s="26">
        <v>4540</v>
      </c>
    </row>
    <row r="4" spans="1:4">
      <c r="A4" s="26" t="s">
        <v>11</v>
      </c>
      <c r="B4" s="26">
        <v>700</v>
      </c>
      <c r="C4" s="26">
        <f t="shared" ref="C4:C27" si="0">C3+B4-16</f>
        <v>5343</v>
      </c>
      <c r="D4" s="26">
        <v>5221</v>
      </c>
    </row>
    <row r="5" spans="1:4">
      <c r="A5" s="26" t="s">
        <v>12</v>
      </c>
      <c r="B5" s="26">
        <v>300</v>
      </c>
      <c r="C5" s="26">
        <f t="shared" si="0"/>
        <v>5627</v>
      </c>
      <c r="D5" s="26">
        <v>5622</v>
      </c>
    </row>
    <row r="6" spans="1:4">
      <c r="A6" s="26" t="s">
        <v>13</v>
      </c>
      <c r="B6" s="26">
        <v>-325</v>
      </c>
      <c r="C6" s="26">
        <f t="shared" si="0"/>
        <v>5286</v>
      </c>
      <c r="D6" s="26">
        <v>5203</v>
      </c>
    </row>
    <row r="7" spans="1:4">
      <c r="A7" s="26" t="s">
        <v>14</v>
      </c>
      <c r="B7" s="26">
        <v>-50</v>
      </c>
      <c r="C7" s="26">
        <f t="shared" si="0"/>
        <v>5220</v>
      </c>
      <c r="D7" s="26">
        <v>5059</v>
      </c>
    </row>
    <row r="8" spans="1:4">
      <c r="A8" s="26" t="s">
        <v>15</v>
      </c>
      <c r="B8" s="26">
        <v>850</v>
      </c>
      <c r="C8" s="26">
        <f t="shared" si="0"/>
        <v>6054</v>
      </c>
      <c r="D8" s="26">
        <v>5706</v>
      </c>
    </row>
    <row r="9" spans="1:4">
      <c r="A9" s="26" t="s">
        <v>16</v>
      </c>
      <c r="B9" s="26">
        <v>-225</v>
      </c>
      <c r="C9" s="26">
        <f t="shared" si="0"/>
        <v>5813</v>
      </c>
      <c r="D9" s="26">
        <v>5603</v>
      </c>
    </row>
    <row r="10" spans="1:4">
      <c r="A10" s="26" t="s">
        <v>17</v>
      </c>
      <c r="B10" s="26">
        <v>675</v>
      </c>
      <c r="C10" s="26">
        <f t="shared" si="0"/>
        <v>6472</v>
      </c>
      <c r="D10" s="26">
        <v>6291</v>
      </c>
    </row>
    <row r="11" spans="1:4">
      <c r="A11" s="26" t="s">
        <v>18</v>
      </c>
      <c r="B11" s="26">
        <v>850</v>
      </c>
      <c r="C11" s="26">
        <f t="shared" si="0"/>
        <v>7306</v>
      </c>
      <c r="D11" s="26">
        <v>7038</v>
      </c>
    </row>
    <row r="12" spans="1:4">
      <c r="A12" s="26" t="s">
        <v>19</v>
      </c>
      <c r="B12" s="26">
        <v>-200</v>
      </c>
      <c r="C12" s="26">
        <f t="shared" si="0"/>
        <v>7090</v>
      </c>
      <c r="D12" s="26">
        <v>6780</v>
      </c>
    </row>
    <row r="13" spans="1:4">
      <c r="A13" s="26" t="s">
        <v>20</v>
      </c>
      <c r="B13" s="26">
        <v>75</v>
      </c>
      <c r="C13" s="26">
        <f t="shared" si="0"/>
        <v>7149</v>
      </c>
      <c r="D13" s="26">
        <v>7082</v>
      </c>
    </row>
    <row r="14" spans="1:4">
      <c r="A14" s="26" t="s">
        <v>21</v>
      </c>
      <c r="B14" s="26">
        <v>-375</v>
      </c>
      <c r="C14" s="26">
        <f t="shared" si="0"/>
        <v>6758</v>
      </c>
      <c r="D14" s="26">
        <v>6847</v>
      </c>
    </row>
    <row r="15" spans="1:4">
      <c r="A15" s="26" t="s">
        <v>22</v>
      </c>
      <c r="B15" s="26">
        <v>-400</v>
      </c>
      <c r="C15" s="26">
        <f t="shared" si="0"/>
        <v>6342</v>
      </c>
      <c r="D15" s="26">
        <v>6487</v>
      </c>
    </row>
    <row r="16" spans="1:4">
      <c r="A16" s="26" t="s">
        <v>23</v>
      </c>
      <c r="B16" s="26">
        <v>150</v>
      </c>
      <c r="C16" s="26">
        <f t="shared" si="0"/>
        <v>6476</v>
      </c>
      <c r="D16" s="26">
        <v>6429</v>
      </c>
    </row>
    <row r="17" spans="1:4">
      <c r="A17" s="26" t="s">
        <v>24</v>
      </c>
      <c r="B17" s="26">
        <v>-425</v>
      </c>
      <c r="C17" s="26">
        <f t="shared" si="0"/>
        <v>6035</v>
      </c>
      <c r="D17" s="26">
        <v>6336</v>
      </c>
    </row>
    <row r="18" spans="1:4">
      <c r="A18" s="26" t="s">
        <v>25</v>
      </c>
      <c r="B18" s="26">
        <v>375</v>
      </c>
      <c r="C18" s="26">
        <f t="shared" si="0"/>
        <v>6394</v>
      </c>
      <c r="D18" s="26">
        <v>6711</v>
      </c>
    </row>
    <row r="19" spans="1:4">
      <c r="A19" s="26" t="s">
        <v>26</v>
      </c>
      <c r="B19" s="26">
        <v>-200</v>
      </c>
      <c r="C19" s="26">
        <f t="shared" si="0"/>
        <v>6178</v>
      </c>
      <c r="D19" s="26">
        <v>6494</v>
      </c>
    </row>
    <row r="20" spans="1:4">
      <c r="A20" s="26" t="s">
        <v>27</v>
      </c>
      <c r="B20" s="26">
        <v>-25</v>
      </c>
      <c r="C20" s="26">
        <f t="shared" si="0"/>
        <v>6137</v>
      </c>
      <c r="D20" s="26">
        <v>6477</v>
      </c>
    </row>
    <row r="21" spans="1:4">
      <c r="A21" s="26" t="s">
        <v>28</v>
      </c>
      <c r="B21" s="26">
        <v>175</v>
      </c>
      <c r="C21" s="26">
        <f t="shared" si="0"/>
        <v>6296</v>
      </c>
      <c r="D21" s="26">
        <v>6415</v>
      </c>
    </row>
    <row r="22" spans="1:4">
      <c r="A22" s="26" t="s">
        <v>29</v>
      </c>
      <c r="B22" s="26">
        <v>25</v>
      </c>
      <c r="C22" s="26">
        <f t="shared" si="0"/>
        <v>6305</v>
      </c>
      <c r="D22" s="26">
        <v>6399</v>
      </c>
    </row>
    <row r="23" spans="1:4">
      <c r="A23" s="26" t="s">
        <v>30</v>
      </c>
      <c r="B23" s="26">
        <v>100</v>
      </c>
      <c r="C23" s="26">
        <f t="shared" si="0"/>
        <v>6389</v>
      </c>
      <c r="D23" s="26">
        <v>6283</v>
      </c>
    </row>
    <row r="24" spans="1:4">
      <c r="A24" s="26" t="s">
        <v>31</v>
      </c>
      <c r="B24" s="26">
        <v>-375</v>
      </c>
      <c r="C24" s="26">
        <f t="shared" si="0"/>
        <v>5998</v>
      </c>
      <c r="D24" s="26">
        <v>6239</v>
      </c>
    </row>
    <row r="25" spans="1:4">
      <c r="A25" s="26" t="s">
        <v>32</v>
      </c>
      <c r="B25" s="26">
        <v>800</v>
      </c>
      <c r="C25" s="26">
        <f t="shared" si="0"/>
        <v>6782</v>
      </c>
      <c r="D25" s="26">
        <v>7015</v>
      </c>
    </row>
    <row r="26" spans="1:4">
      <c r="A26" s="26" t="s">
        <v>33</v>
      </c>
      <c r="B26" s="26">
        <v>175</v>
      </c>
      <c r="C26" s="26">
        <f t="shared" si="0"/>
        <v>6941</v>
      </c>
      <c r="D26" s="26">
        <v>6935</v>
      </c>
    </row>
    <row r="27" spans="1:4">
      <c r="A27" s="26" t="s">
        <v>34</v>
      </c>
      <c r="B27" s="26">
        <v>-425</v>
      </c>
      <c r="C27" s="26">
        <f t="shared" si="0"/>
        <v>6500</v>
      </c>
      <c r="D27" s="26">
        <v>6575</v>
      </c>
    </row>
  </sheetData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7"/>
  <sheetViews>
    <sheetView zoomScale="115" zoomScaleNormal="115" workbookViewId="0">
      <selection activeCell="D3" sqref="D3:D27"/>
    </sheetView>
  </sheetViews>
  <sheetFormatPr defaultColWidth="9" defaultRowHeight="13.5" outlineLevelCol="3"/>
  <cols>
    <col min="1" max="3" width="9" style="26"/>
    <col min="4" max="4" width="11.7333333333333" style="26" customWidth="1"/>
    <col min="5" max="16384" width="9" style="26"/>
  </cols>
  <sheetData>
    <row r="1" s="26" customFormat="1" spans="2:4">
      <c r="B1" s="26" t="s">
        <v>40</v>
      </c>
      <c r="C1" s="26" t="b">
        <v>1</v>
      </c>
      <c r="D1" s="26" t="s">
        <v>41</v>
      </c>
    </row>
    <row r="2" s="26" customFormat="1" spans="3:4">
      <c r="C2" s="26">
        <v>8000</v>
      </c>
      <c r="D2" s="26">
        <v>8000</v>
      </c>
    </row>
    <row r="3" s="26" customFormat="1" spans="1:4">
      <c r="A3" s="26" t="s">
        <v>10</v>
      </c>
      <c r="B3" s="26">
        <v>25</v>
      </c>
      <c r="C3" s="26">
        <f t="shared" ref="C3:C27" si="0">C2+B3-16</f>
        <v>8009</v>
      </c>
      <c r="D3" s="26">
        <v>7984</v>
      </c>
    </row>
    <row r="4" s="26" customFormat="1" spans="1:4">
      <c r="A4" s="26" t="s">
        <v>11</v>
      </c>
      <c r="B4" s="26">
        <v>-100</v>
      </c>
      <c r="C4" s="26">
        <f t="shared" si="0"/>
        <v>7893</v>
      </c>
      <c r="D4" s="26">
        <v>7757</v>
      </c>
    </row>
    <row r="5" s="26" customFormat="1" spans="1:4">
      <c r="A5" s="26" t="s">
        <v>12</v>
      </c>
      <c r="B5" s="26">
        <v>-75</v>
      </c>
      <c r="C5" s="26">
        <f t="shared" si="0"/>
        <v>7802</v>
      </c>
      <c r="D5" s="26">
        <v>7727</v>
      </c>
    </row>
    <row r="6" s="26" customFormat="1" spans="1:4">
      <c r="A6" s="26" t="s">
        <v>13</v>
      </c>
      <c r="B6" s="26">
        <v>-125</v>
      </c>
      <c r="C6" s="26">
        <f t="shared" si="0"/>
        <v>7661</v>
      </c>
      <c r="D6" s="26">
        <v>7507</v>
      </c>
    </row>
    <row r="7" s="26" customFormat="1" spans="1:4">
      <c r="A7" s="26" t="s">
        <v>14</v>
      </c>
      <c r="B7" s="26">
        <v>-375</v>
      </c>
      <c r="C7" s="26">
        <f t="shared" si="0"/>
        <v>7270</v>
      </c>
      <c r="D7" s="26">
        <v>7174</v>
      </c>
    </row>
    <row r="8" s="26" customFormat="1" spans="1:4">
      <c r="A8" s="26" t="s">
        <v>15</v>
      </c>
      <c r="B8" s="26">
        <v>-425</v>
      </c>
      <c r="C8" s="26">
        <f t="shared" si="0"/>
        <v>6829</v>
      </c>
      <c r="D8" s="26">
        <v>6882</v>
      </c>
    </row>
    <row r="9" s="26" customFormat="1" spans="1:4">
      <c r="A9" s="26" t="s">
        <v>16</v>
      </c>
      <c r="B9" s="26">
        <v>-175</v>
      </c>
      <c r="C9" s="26">
        <f t="shared" si="0"/>
        <v>6638</v>
      </c>
      <c r="D9" s="26">
        <v>6631</v>
      </c>
    </row>
    <row r="10" s="26" customFormat="1" spans="1:4">
      <c r="A10" s="26" t="s">
        <v>17</v>
      </c>
      <c r="B10" s="26">
        <v>125</v>
      </c>
      <c r="C10" s="26">
        <f t="shared" si="0"/>
        <v>6747</v>
      </c>
      <c r="D10" s="26">
        <v>6583</v>
      </c>
    </row>
    <row r="11" s="26" customFormat="1" spans="1:4">
      <c r="A11" s="26" t="s">
        <v>18</v>
      </c>
      <c r="B11" s="26">
        <v>-300</v>
      </c>
      <c r="C11" s="26">
        <f t="shared" si="0"/>
        <v>6431</v>
      </c>
      <c r="D11" s="26">
        <v>6332</v>
      </c>
    </row>
    <row r="12" s="26" customFormat="1" spans="1:4">
      <c r="A12" s="26" t="s">
        <v>19</v>
      </c>
      <c r="B12" s="26">
        <v>-25</v>
      </c>
      <c r="C12" s="26">
        <f t="shared" si="0"/>
        <v>6390</v>
      </c>
      <c r="D12" s="26">
        <v>6501</v>
      </c>
    </row>
    <row r="13" s="26" customFormat="1" spans="1:4">
      <c r="A13" s="26" t="s">
        <v>20</v>
      </c>
      <c r="B13" s="26">
        <v>-125</v>
      </c>
      <c r="C13" s="26">
        <f t="shared" si="0"/>
        <v>6249</v>
      </c>
      <c r="D13" s="26">
        <v>6281</v>
      </c>
    </row>
    <row r="14" s="26" customFormat="1" spans="1:4">
      <c r="A14" s="26" t="s">
        <v>21</v>
      </c>
      <c r="B14" s="26">
        <v>-150</v>
      </c>
      <c r="C14" s="26">
        <f t="shared" si="0"/>
        <v>6083</v>
      </c>
      <c r="D14" s="26">
        <v>6037</v>
      </c>
    </row>
    <row r="15" s="26" customFormat="1" spans="1:4">
      <c r="A15" s="26" t="s">
        <v>22</v>
      </c>
      <c r="B15" s="26">
        <v>-550</v>
      </c>
      <c r="C15" s="26">
        <f t="shared" si="0"/>
        <v>5517</v>
      </c>
      <c r="D15" s="26">
        <v>5759</v>
      </c>
    </row>
    <row r="16" s="26" customFormat="1" spans="1:4">
      <c r="A16" s="26" t="s">
        <v>23</v>
      </c>
      <c r="B16" s="26">
        <v>-75</v>
      </c>
      <c r="C16" s="26">
        <f t="shared" si="0"/>
        <v>5426</v>
      </c>
      <c r="D16" s="26">
        <v>5814</v>
      </c>
    </row>
    <row r="17" s="26" customFormat="1" spans="1:4">
      <c r="A17" s="26" t="s">
        <v>24</v>
      </c>
      <c r="B17" s="26">
        <v>-250</v>
      </c>
      <c r="C17" s="26">
        <f t="shared" si="0"/>
        <v>5160</v>
      </c>
      <c r="D17" s="26">
        <v>5495</v>
      </c>
    </row>
    <row r="18" s="26" customFormat="1" spans="1:4">
      <c r="A18" s="26" t="s">
        <v>25</v>
      </c>
      <c r="B18" s="26">
        <v>-250</v>
      </c>
      <c r="C18" s="26">
        <f t="shared" si="0"/>
        <v>4894</v>
      </c>
      <c r="D18" s="26">
        <v>5340</v>
      </c>
    </row>
    <row r="19" s="26" customFormat="1" spans="1:4">
      <c r="A19" s="26" t="s">
        <v>26</v>
      </c>
      <c r="B19" s="26">
        <v>-100</v>
      </c>
      <c r="C19" s="26">
        <f t="shared" si="0"/>
        <v>4778</v>
      </c>
      <c r="D19" s="26">
        <v>5422</v>
      </c>
    </row>
    <row r="20" s="26" customFormat="1" spans="1:4">
      <c r="A20" s="26" t="s">
        <v>27</v>
      </c>
      <c r="B20" s="26">
        <v>-250</v>
      </c>
      <c r="C20" s="26">
        <f t="shared" si="0"/>
        <v>4512</v>
      </c>
      <c r="D20" s="26">
        <v>5160</v>
      </c>
    </row>
    <row r="21" s="26" customFormat="1" spans="1:4">
      <c r="A21" s="26" t="s">
        <v>28</v>
      </c>
      <c r="B21" s="26">
        <v>100</v>
      </c>
      <c r="C21" s="26">
        <f t="shared" si="0"/>
        <v>4596</v>
      </c>
      <c r="D21" s="26">
        <v>5246</v>
      </c>
    </row>
    <row r="22" s="26" customFormat="1" spans="1:4">
      <c r="A22" s="26" t="s">
        <v>29</v>
      </c>
      <c r="B22" s="26">
        <v>-200</v>
      </c>
      <c r="C22" s="26">
        <f t="shared" si="0"/>
        <v>4380</v>
      </c>
      <c r="D22" s="26">
        <v>5061</v>
      </c>
    </row>
    <row r="23" s="26" customFormat="1" spans="1:4">
      <c r="A23" s="26" t="s">
        <v>30</v>
      </c>
      <c r="B23" s="26">
        <v>100</v>
      </c>
      <c r="C23" s="26">
        <f t="shared" si="0"/>
        <v>4464</v>
      </c>
      <c r="D23" s="26">
        <v>5060</v>
      </c>
    </row>
    <row r="24" s="26" customFormat="1" spans="1:4">
      <c r="A24" s="26" t="s">
        <v>31</v>
      </c>
      <c r="B24" s="26">
        <v>275</v>
      </c>
      <c r="C24" s="26">
        <f t="shared" si="0"/>
        <v>4723</v>
      </c>
      <c r="D24" s="26">
        <v>4966</v>
      </c>
    </row>
    <row r="25" s="26" customFormat="1" spans="1:4">
      <c r="A25" s="26" t="s">
        <v>32</v>
      </c>
      <c r="B25" s="26">
        <v>-50</v>
      </c>
      <c r="C25" s="26">
        <f t="shared" si="0"/>
        <v>4657</v>
      </c>
      <c r="D25" s="26">
        <v>4681</v>
      </c>
    </row>
    <row r="26" s="26" customFormat="1" spans="1:4">
      <c r="A26" s="26" t="s">
        <v>33</v>
      </c>
      <c r="B26" s="26">
        <v>-200</v>
      </c>
      <c r="C26" s="26">
        <f t="shared" si="0"/>
        <v>4441</v>
      </c>
      <c r="D26" s="26">
        <v>4506</v>
      </c>
    </row>
    <row r="27" s="26" customFormat="1" spans="1:4">
      <c r="A27" s="26" t="s">
        <v>34</v>
      </c>
      <c r="B27" s="26">
        <v>-250</v>
      </c>
      <c r="C27" s="26">
        <f t="shared" si="0"/>
        <v>4175</v>
      </c>
      <c r="D27" s="26">
        <v>4100</v>
      </c>
    </row>
  </sheetData>
  <pageMargins left="0.75" right="0.75" top="1" bottom="1" header="0.5" footer="0.5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"/>
  <sheetViews>
    <sheetView zoomScale="130" zoomScaleNormal="130" workbookViewId="0">
      <selection activeCell="D2" sqref="D2"/>
    </sheetView>
  </sheetViews>
  <sheetFormatPr defaultColWidth="9" defaultRowHeight="13.5" outlineLevelCol="3"/>
  <sheetData>
    <row r="1" spans="1:4">
      <c r="A1">
        <v>3</v>
      </c>
      <c r="B1">
        <v>3.4</v>
      </c>
      <c r="D1">
        <f>125*(A1+B1)/50</f>
        <v>16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zoomScale="140" zoomScaleNormal="140" workbookViewId="0">
      <selection activeCell="E8" sqref="E8"/>
    </sheetView>
  </sheetViews>
  <sheetFormatPr defaultColWidth="9" defaultRowHeight="13.5" outlineLevelRow="2" outlineLevelCol="6"/>
  <cols>
    <col min="1" max="1" width="10.375" style="24"/>
    <col min="2" max="2" width="9.375" style="24"/>
    <col min="3" max="3" width="9" style="24"/>
    <col min="4" max="5" width="9.375" style="24"/>
    <col min="6" max="6" width="11.9083333333333" style="24" customWidth="1"/>
    <col min="7" max="7" width="9.375" style="24"/>
    <col min="8" max="16384" width="9" style="24"/>
  </cols>
  <sheetData>
    <row r="1" spans="1:7">
      <c r="A1" s="24" t="s">
        <v>0</v>
      </c>
      <c r="B1" s="24" t="s">
        <v>1</v>
      </c>
      <c r="C1" s="24" t="s">
        <v>2</v>
      </c>
      <c r="D1" s="24" t="s">
        <v>3</v>
      </c>
      <c r="E1" s="24" t="s">
        <v>6</v>
      </c>
      <c r="F1" s="24" t="s">
        <v>8</v>
      </c>
      <c r="G1" s="24" t="s">
        <v>9</v>
      </c>
    </row>
    <row r="2" spans="1:7">
      <c r="A2" s="25">
        <v>-423.2515</v>
      </c>
      <c r="B2" s="25">
        <v>143.5044</v>
      </c>
      <c r="C2" s="25">
        <v>762.79</v>
      </c>
      <c r="D2" s="25">
        <v>175.4549</v>
      </c>
      <c r="E2" s="25">
        <v>100.2125</v>
      </c>
      <c r="F2" s="25">
        <v>-99.8043</v>
      </c>
      <c r="G2" s="24">
        <v>-275.393</v>
      </c>
    </row>
    <row r="3" spans="1:1">
      <c r="A3" s="24">
        <f>A2+16</f>
        <v>-407.2515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zoomScale="175" zoomScaleNormal="175" workbookViewId="0">
      <selection activeCell="D21" sqref="D21"/>
    </sheetView>
  </sheetViews>
  <sheetFormatPr defaultColWidth="9" defaultRowHeight="13.5" outlineLevelRow="2" outlineLevelCol="1"/>
  <sheetData>
    <row r="1" spans="1:2">
      <c r="A1" t="s">
        <v>36</v>
      </c>
      <c r="B1">
        <v>0</v>
      </c>
    </row>
    <row r="2" spans="1:2">
      <c r="A2" t="s">
        <v>37</v>
      </c>
      <c r="B2">
        <v>0</v>
      </c>
    </row>
    <row r="3" spans="1:2">
      <c r="A3" t="s">
        <v>38</v>
      </c>
      <c r="B3">
        <v>0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2"/>
  <sheetViews>
    <sheetView zoomScale="115" zoomScaleNormal="115" topLeftCell="A13" workbookViewId="0">
      <selection activeCell="O36" sqref="O36"/>
    </sheetView>
  </sheetViews>
  <sheetFormatPr defaultColWidth="9" defaultRowHeight="13.5"/>
  <cols>
    <col min="1" max="1" width="9" style="1"/>
    <col min="2" max="2" width="13.75" style="1"/>
    <col min="3" max="16384" width="9" style="1"/>
  </cols>
  <sheetData>
    <row r="1" s="1" customFormat="1" ht="14.25" spans="1:12">
      <c r="A1" s="2"/>
      <c r="B1" s="3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17" t="s">
        <v>9</v>
      </c>
      <c r="L1" s="18"/>
    </row>
    <row r="2" s="1" customFormat="1" spans="1:13">
      <c r="A2" s="5" t="s">
        <v>10</v>
      </c>
      <c r="B2" s="6">
        <f>-M2</f>
        <v>-675</v>
      </c>
      <c r="C2" s="7">
        <v>1</v>
      </c>
      <c r="D2" s="7">
        <v>0</v>
      </c>
      <c r="E2" s="7">
        <v>1</v>
      </c>
      <c r="F2" s="7">
        <v>0</v>
      </c>
      <c r="G2" s="7">
        <v>0</v>
      </c>
      <c r="H2" s="7">
        <v>1</v>
      </c>
      <c r="I2" s="7">
        <v>0</v>
      </c>
      <c r="J2" s="7">
        <v>1</v>
      </c>
      <c r="K2" s="19">
        <v>16401</v>
      </c>
      <c r="L2" s="20"/>
      <c r="M2" s="1">
        <v>675</v>
      </c>
    </row>
    <row r="3" s="1" customFormat="1" spans="1:13">
      <c r="A3" s="8" t="s">
        <v>11</v>
      </c>
      <c r="B3" s="9">
        <f t="shared" ref="B3:B34" si="0">-M3</f>
        <v>-700</v>
      </c>
      <c r="C3" s="10">
        <v>1</v>
      </c>
      <c r="D3" s="10">
        <v>0</v>
      </c>
      <c r="E3" s="10">
        <v>1</v>
      </c>
      <c r="F3" s="10">
        <v>0</v>
      </c>
      <c r="G3" s="10">
        <v>1</v>
      </c>
      <c r="H3" s="10">
        <v>0</v>
      </c>
      <c r="I3" s="10">
        <v>1</v>
      </c>
      <c r="J3" s="10">
        <v>1</v>
      </c>
      <c r="K3" s="21">
        <v>17901</v>
      </c>
      <c r="L3" s="20"/>
      <c r="M3" s="1">
        <v>700</v>
      </c>
    </row>
    <row r="4" s="1" customFormat="1" spans="1:13">
      <c r="A4" s="8" t="s">
        <v>12</v>
      </c>
      <c r="B4" s="9">
        <f t="shared" si="0"/>
        <v>-300</v>
      </c>
      <c r="C4" s="10">
        <v>1</v>
      </c>
      <c r="D4" s="10">
        <v>0</v>
      </c>
      <c r="E4" s="10">
        <v>1</v>
      </c>
      <c r="F4" s="10">
        <v>0</v>
      </c>
      <c r="G4" s="10">
        <v>0</v>
      </c>
      <c r="H4" s="10">
        <v>1</v>
      </c>
      <c r="I4" s="10">
        <v>0</v>
      </c>
      <c r="J4" s="10">
        <v>1</v>
      </c>
      <c r="K4" s="21">
        <v>11401</v>
      </c>
      <c r="L4" s="20"/>
      <c r="M4" s="1">
        <v>300</v>
      </c>
    </row>
    <row r="5" s="1" customFormat="1" spans="1:13">
      <c r="A5" s="8" t="s">
        <v>13</v>
      </c>
      <c r="B5" s="9">
        <f t="shared" si="0"/>
        <v>325</v>
      </c>
      <c r="C5" s="10">
        <v>1</v>
      </c>
      <c r="D5" s="10">
        <v>1</v>
      </c>
      <c r="E5" s="10">
        <v>1</v>
      </c>
      <c r="F5" s="10">
        <v>0</v>
      </c>
      <c r="G5" s="10">
        <v>0</v>
      </c>
      <c r="H5" s="10">
        <v>1</v>
      </c>
      <c r="I5" s="10">
        <v>0</v>
      </c>
      <c r="J5" s="10">
        <v>0</v>
      </c>
      <c r="K5" s="21">
        <v>12901</v>
      </c>
      <c r="L5" s="20"/>
      <c r="M5" s="1">
        <v>-325</v>
      </c>
    </row>
    <row r="6" s="1" customFormat="1" spans="1:13">
      <c r="A6" s="8" t="s">
        <v>14</v>
      </c>
      <c r="B6" s="9">
        <f t="shared" si="0"/>
        <v>50</v>
      </c>
      <c r="C6" s="10">
        <v>1</v>
      </c>
      <c r="D6" s="10">
        <v>1</v>
      </c>
      <c r="E6" s="10">
        <v>0</v>
      </c>
      <c r="F6" s="10">
        <v>1</v>
      </c>
      <c r="G6" s="10">
        <v>1</v>
      </c>
      <c r="H6" s="10">
        <v>0</v>
      </c>
      <c r="I6" s="10">
        <v>0</v>
      </c>
      <c r="J6" s="10">
        <v>0</v>
      </c>
      <c r="K6" s="21">
        <v>12901</v>
      </c>
      <c r="L6" s="20"/>
      <c r="M6" s="1">
        <v>-50</v>
      </c>
    </row>
    <row r="7" s="1" customFormat="1" spans="1:13">
      <c r="A7" s="8" t="s">
        <v>15</v>
      </c>
      <c r="B7" s="9">
        <f t="shared" si="0"/>
        <v>-850</v>
      </c>
      <c r="C7" s="10">
        <v>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1</v>
      </c>
      <c r="J7" s="10">
        <v>0</v>
      </c>
      <c r="K7" s="21">
        <v>13901</v>
      </c>
      <c r="L7" s="20"/>
      <c r="M7" s="1">
        <v>850</v>
      </c>
    </row>
    <row r="8" s="1" customFormat="1" spans="1:13">
      <c r="A8" s="8" t="s">
        <v>16</v>
      </c>
      <c r="B8" s="9">
        <f t="shared" si="0"/>
        <v>225</v>
      </c>
      <c r="C8" s="10">
        <v>1</v>
      </c>
      <c r="D8" s="10">
        <v>1</v>
      </c>
      <c r="E8" s="10">
        <v>0</v>
      </c>
      <c r="F8" s="10">
        <v>1</v>
      </c>
      <c r="G8" s="10">
        <v>1</v>
      </c>
      <c r="H8" s="10">
        <v>0</v>
      </c>
      <c r="I8" s="10">
        <v>0</v>
      </c>
      <c r="J8" s="10">
        <v>0</v>
      </c>
      <c r="K8" s="21">
        <v>14401</v>
      </c>
      <c r="L8" s="20"/>
      <c r="M8" s="1">
        <v>-225</v>
      </c>
    </row>
    <row r="9" s="1" customFormat="1" spans="1:13">
      <c r="A9" s="8" t="s">
        <v>17</v>
      </c>
      <c r="B9" s="9">
        <f t="shared" si="0"/>
        <v>-675</v>
      </c>
      <c r="C9" s="10">
        <v>1</v>
      </c>
      <c r="D9" s="10">
        <v>0</v>
      </c>
      <c r="E9" s="10">
        <v>0</v>
      </c>
      <c r="F9" s="10">
        <v>1</v>
      </c>
      <c r="G9" s="10">
        <v>1</v>
      </c>
      <c r="H9" s="10">
        <v>0</v>
      </c>
      <c r="I9" s="10">
        <v>1</v>
      </c>
      <c r="J9" s="10">
        <v>0</v>
      </c>
      <c r="K9" s="21">
        <v>15401</v>
      </c>
      <c r="L9" s="20"/>
      <c r="M9" s="1">
        <v>675</v>
      </c>
    </row>
    <row r="10" s="1" customFormat="1" spans="1:13">
      <c r="A10" s="8" t="s">
        <v>18</v>
      </c>
      <c r="B10" s="9">
        <f t="shared" si="0"/>
        <v>-850</v>
      </c>
      <c r="C10" s="10">
        <v>1</v>
      </c>
      <c r="D10" s="10">
        <v>0</v>
      </c>
      <c r="E10" s="10">
        <v>0</v>
      </c>
      <c r="F10" s="10">
        <v>1</v>
      </c>
      <c r="G10" s="10">
        <v>1</v>
      </c>
      <c r="H10" s="10">
        <v>0</v>
      </c>
      <c r="I10" s="10">
        <v>0</v>
      </c>
      <c r="J10" s="10">
        <v>1</v>
      </c>
      <c r="K10" s="21">
        <v>13901</v>
      </c>
      <c r="L10" s="20"/>
      <c r="M10" s="1">
        <v>850</v>
      </c>
    </row>
    <row r="11" s="1" customFormat="1" spans="1:13">
      <c r="A11" s="8" t="s">
        <v>19</v>
      </c>
      <c r="B11" s="9">
        <f t="shared" si="0"/>
        <v>200</v>
      </c>
      <c r="C11" s="10">
        <v>1</v>
      </c>
      <c r="D11" s="10">
        <v>1</v>
      </c>
      <c r="E11" s="10">
        <v>0</v>
      </c>
      <c r="F11" s="10">
        <v>0</v>
      </c>
      <c r="G11" s="10">
        <v>0</v>
      </c>
      <c r="H11" s="10">
        <v>1</v>
      </c>
      <c r="I11" s="10">
        <v>1</v>
      </c>
      <c r="J11" s="10">
        <v>0</v>
      </c>
      <c r="K11" s="21">
        <v>12401</v>
      </c>
      <c r="L11" s="20"/>
      <c r="M11" s="1">
        <v>-200</v>
      </c>
    </row>
    <row r="12" s="1" customFormat="1" spans="1:13">
      <c r="A12" s="8" t="s">
        <v>20</v>
      </c>
      <c r="B12" s="9">
        <f t="shared" si="0"/>
        <v>-75</v>
      </c>
      <c r="C12" s="10">
        <v>1</v>
      </c>
      <c r="D12" s="10">
        <v>0</v>
      </c>
      <c r="E12" s="10">
        <v>1</v>
      </c>
      <c r="F12" s="10">
        <v>1</v>
      </c>
      <c r="G12" s="10">
        <v>0</v>
      </c>
      <c r="H12" s="10">
        <v>1</v>
      </c>
      <c r="I12" s="10">
        <v>0</v>
      </c>
      <c r="J12" s="10">
        <v>0</v>
      </c>
      <c r="K12" s="21">
        <v>11401</v>
      </c>
      <c r="L12" s="20"/>
      <c r="M12" s="1">
        <v>75</v>
      </c>
    </row>
    <row r="13" s="1" customFormat="1" spans="1:13">
      <c r="A13" s="8" t="s">
        <v>21</v>
      </c>
      <c r="B13" s="9">
        <f t="shared" si="0"/>
        <v>375</v>
      </c>
      <c r="C13" s="10">
        <v>0</v>
      </c>
      <c r="D13" s="10">
        <v>1</v>
      </c>
      <c r="E13" s="10">
        <v>1</v>
      </c>
      <c r="F13" s="10">
        <v>0</v>
      </c>
      <c r="G13" s="10">
        <v>1</v>
      </c>
      <c r="H13" s="10">
        <v>1</v>
      </c>
      <c r="I13" s="10">
        <v>1</v>
      </c>
      <c r="J13" s="10">
        <v>0</v>
      </c>
      <c r="K13" s="21">
        <v>14401</v>
      </c>
      <c r="L13" s="20"/>
      <c r="M13" s="1">
        <v>-375</v>
      </c>
    </row>
    <row r="14" s="1" customFormat="1" spans="1:13">
      <c r="A14" s="8" t="s">
        <v>22</v>
      </c>
      <c r="B14" s="9">
        <f t="shared" si="0"/>
        <v>400</v>
      </c>
      <c r="C14" s="10">
        <v>1</v>
      </c>
      <c r="D14" s="10">
        <v>1</v>
      </c>
      <c r="E14" s="10">
        <v>1</v>
      </c>
      <c r="F14" s="10">
        <v>0</v>
      </c>
      <c r="G14" s="10">
        <v>0</v>
      </c>
      <c r="H14" s="10">
        <v>0</v>
      </c>
      <c r="I14" s="10">
        <v>1</v>
      </c>
      <c r="J14" s="10">
        <v>0</v>
      </c>
      <c r="K14" s="21">
        <v>11401</v>
      </c>
      <c r="L14" s="20"/>
      <c r="M14" s="1">
        <v>-400</v>
      </c>
    </row>
    <row r="15" s="1" customFormat="1" spans="1:13">
      <c r="A15" s="8" t="s">
        <v>23</v>
      </c>
      <c r="B15" s="9">
        <f t="shared" si="0"/>
        <v>-150</v>
      </c>
      <c r="C15" s="10">
        <v>1</v>
      </c>
      <c r="D15" s="10">
        <v>1</v>
      </c>
      <c r="E15" s="10">
        <v>0</v>
      </c>
      <c r="F15" s="10">
        <v>0</v>
      </c>
      <c r="G15" s="10">
        <v>1</v>
      </c>
      <c r="H15" s="10">
        <v>0</v>
      </c>
      <c r="I15" s="10">
        <v>0</v>
      </c>
      <c r="J15" s="10">
        <v>1</v>
      </c>
      <c r="K15" s="21">
        <v>12401</v>
      </c>
      <c r="L15" s="20"/>
      <c r="M15" s="1">
        <v>150</v>
      </c>
    </row>
    <row r="16" s="1" customFormat="1" spans="1:13">
      <c r="A16" s="8" t="s">
        <v>24</v>
      </c>
      <c r="B16" s="9">
        <f t="shared" si="0"/>
        <v>425</v>
      </c>
      <c r="C16" s="10">
        <v>0</v>
      </c>
      <c r="D16" s="10">
        <v>1</v>
      </c>
      <c r="E16" s="10">
        <v>1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21">
        <v>15901</v>
      </c>
      <c r="L16" s="20"/>
      <c r="M16" s="1">
        <v>-425</v>
      </c>
    </row>
    <row r="17" s="1" customFormat="1" spans="1:13">
      <c r="A17" s="8" t="s">
        <v>25</v>
      </c>
      <c r="B17" s="9">
        <f t="shared" si="0"/>
        <v>-375</v>
      </c>
      <c r="C17" s="10">
        <v>1</v>
      </c>
      <c r="D17" s="10">
        <v>0</v>
      </c>
      <c r="E17" s="10">
        <v>1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21">
        <v>10401</v>
      </c>
      <c r="L17" s="20"/>
      <c r="M17" s="1">
        <v>375</v>
      </c>
    </row>
    <row r="18" s="1" customFormat="1" spans="1:13">
      <c r="A18" s="8" t="s">
        <v>26</v>
      </c>
      <c r="B18" s="9">
        <f t="shared" si="0"/>
        <v>200</v>
      </c>
      <c r="C18" s="10">
        <v>0</v>
      </c>
      <c r="D18" s="10">
        <v>1</v>
      </c>
      <c r="E18" s="10">
        <v>1</v>
      </c>
      <c r="F18" s="10">
        <v>1</v>
      </c>
      <c r="G18" s="10">
        <v>0</v>
      </c>
      <c r="H18" s="10">
        <v>0</v>
      </c>
      <c r="I18" s="10">
        <v>1</v>
      </c>
      <c r="J18" s="10">
        <v>0</v>
      </c>
      <c r="K18" s="21">
        <v>11401</v>
      </c>
      <c r="L18" s="20"/>
      <c r="M18" s="1">
        <v>-200</v>
      </c>
    </row>
    <row r="19" s="1" customFormat="1" spans="1:13">
      <c r="A19" s="8" t="s">
        <v>27</v>
      </c>
      <c r="B19" s="9">
        <f t="shared" si="0"/>
        <v>25</v>
      </c>
      <c r="C19" s="10">
        <v>1</v>
      </c>
      <c r="D19" s="10">
        <v>1</v>
      </c>
      <c r="E19" s="10">
        <v>0</v>
      </c>
      <c r="F19" s="10">
        <v>0</v>
      </c>
      <c r="G19" s="10">
        <v>0</v>
      </c>
      <c r="H19" s="10">
        <v>0</v>
      </c>
      <c r="I19" s="10">
        <v>1</v>
      </c>
      <c r="J19" s="10">
        <v>1</v>
      </c>
      <c r="K19" s="21">
        <v>13901</v>
      </c>
      <c r="L19" s="20"/>
      <c r="M19" s="1">
        <v>-25</v>
      </c>
    </row>
    <row r="20" s="1" customFormat="1" spans="1:13">
      <c r="A20" s="8" t="s">
        <v>28</v>
      </c>
      <c r="B20" s="9">
        <f t="shared" si="0"/>
        <v>-175</v>
      </c>
      <c r="C20" s="10">
        <v>0</v>
      </c>
      <c r="D20" s="10">
        <v>1</v>
      </c>
      <c r="E20" s="10">
        <v>1</v>
      </c>
      <c r="F20" s="10">
        <v>1</v>
      </c>
      <c r="G20" s="10">
        <v>0</v>
      </c>
      <c r="H20" s="10">
        <v>0</v>
      </c>
      <c r="I20" s="10">
        <v>0</v>
      </c>
      <c r="J20" s="10">
        <v>1</v>
      </c>
      <c r="K20" s="21">
        <v>13401</v>
      </c>
      <c r="L20" s="20"/>
      <c r="M20" s="1">
        <v>175</v>
      </c>
    </row>
    <row r="21" s="1" customFormat="1" spans="1:13">
      <c r="A21" s="8" t="s">
        <v>29</v>
      </c>
      <c r="B21" s="9">
        <f t="shared" si="0"/>
        <v>-25</v>
      </c>
      <c r="C21" s="10">
        <v>1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1</v>
      </c>
      <c r="J21" s="10">
        <v>1</v>
      </c>
      <c r="K21" s="21">
        <v>13901</v>
      </c>
      <c r="L21" s="20"/>
      <c r="M21" s="1">
        <v>25</v>
      </c>
    </row>
    <row r="22" s="1" customFormat="1" spans="1:13">
      <c r="A22" s="8" t="s">
        <v>30</v>
      </c>
      <c r="B22" s="9">
        <f t="shared" si="0"/>
        <v>-100</v>
      </c>
      <c r="C22" s="10">
        <v>1</v>
      </c>
      <c r="D22" s="10">
        <v>1</v>
      </c>
      <c r="E22" s="10">
        <v>0</v>
      </c>
      <c r="F22" s="10">
        <v>1</v>
      </c>
      <c r="G22" s="10">
        <v>1</v>
      </c>
      <c r="H22" s="10">
        <v>0</v>
      </c>
      <c r="I22" s="10">
        <v>1</v>
      </c>
      <c r="J22" s="10">
        <v>0</v>
      </c>
      <c r="K22" s="21">
        <v>13901</v>
      </c>
      <c r="L22" s="20"/>
      <c r="M22" s="1">
        <v>100</v>
      </c>
    </row>
    <row r="23" s="1" customFormat="1" spans="1:13">
      <c r="A23" s="8" t="s">
        <v>31</v>
      </c>
      <c r="B23" s="9">
        <f t="shared" si="0"/>
        <v>375</v>
      </c>
      <c r="C23" s="10">
        <v>1</v>
      </c>
      <c r="D23" s="10">
        <v>1</v>
      </c>
      <c r="E23" s="10">
        <v>0</v>
      </c>
      <c r="F23" s="10">
        <v>1</v>
      </c>
      <c r="G23" s="10">
        <v>0</v>
      </c>
      <c r="H23" s="10">
        <v>0</v>
      </c>
      <c r="I23" s="10">
        <v>0</v>
      </c>
      <c r="J23" s="10">
        <v>1</v>
      </c>
      <c r="K23" s="21">
        <v>12901</v>
      </c>
      <c r="L23" s="20"/>
      <c r="M23" s="1">
        <v>-375</v>
      </c>
    </row>
    <row r="24" s="1" customFormat="1" spans="1:13">
      <c r="A24" s="8" t="s">
        <v>32</v>
      </c>
      <c r="B24" s="9">
        <f t="shared" si="0"/>
        <v>-800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1</v>
      </c>
      <c r="I24" s="10">
        <v>1</v>
      </c>
      <c r="J24" s="10">
        <v>1</v>
      </c>
      <c r="K24" s="21">
        <v>13401</v>
      </c>
      <c r="L24" s="20"/>
      <c r="M24" s="1">
        <v>800</v>
      </c>
    </row>
    <row r="25" s="1" customFormat="1" spans="1:13">
      <c r="A25" s="8" t="s">
        <v>33</v>
      </c>
      <c r="B25" s="9">
        <f t="shared" si="0"/>
        <v>-175</v>
      </c>
      <c r="C25" s="10">
        <v>0</v>
      </c>
      <c r="D25" s="10">
        <v>1</v>
      </c>
      <c r="E25" s="10">
        <v>1</v>
      </c>
      <c r="F25" s="10">
        <v>1</v>
      </c>
      <c r="G25" s="10">
        <v>1</v>
      </c>
      <c r="H25" s="10">
        <v>0</v>
      </c>
      <c r="I25" s="10">
        <v>1</v>
      </c>
      <c r="J25" s="10">
        <v>0</v>
      </c>
      <c r="K25" s="21">
        <v>16401</v>
      </c>
      <c r="L25" s="20"/>
      <c r="M25" s="1">
        <v>175</v>
      </c>
    </row>
    <row r="26" s="1" customFormat="1" ht="14.25" spans="1:13">
      <c r="A26" s="8" t="s">
        <v>34</v>
      </c>
      <c r="B26" s="11">
        <f t="shared" si="0"/>
        <v>425</v>
      </c>
      <c r="C26" s="12">
        <v>1</v>
      </c>
      <c r="D26" s="12">
        <v>1</v>
      </c>
      <c r="E26" s="12">
        <v>1</v>
      </c>
      <c r="F26" s="12">
        <v>1</v>
      </c>
      <c r="G26" s="12">
        <v>0</v>
      </c>
      <c r="H26" s="12">
        <v>0</v>
      </c>
      <c r="I26" s="12">
        <v>1</v>
      </c>
      <c r="J26" s="12">
        <v>0</v>
      </c>
      <c r="K26" s="22">
        <v>11401</v>
      </c>
      <c r="L26" s="20"/>
      <c r="M26" s="1">
        <v>-425</v>
      </c>
    </row>
    <row r="27" s="1" customFormat="1" spans="1:13">
      <c r="A27" s="8" t="s">
        <v>10</v>
      </c>
      <c r="B27" s="13">
        <f t="shared" si="0"/>
        <v>-25</v>
      </c>
      <c r="C27" s="14">
        <v>1</v>
      </c>
      <c r="D27" s="14">
        <v>1</v>
      </c>
      <c r="E27" s="14">
        <v>0</v>
      </c>
      <c r="F27" s="14">
        <v>1</v>
      </c>
      <c r="G27" s="14">
        <v>1</v>
      </c>
      <c r="H27" s="14">
        <v>0</v>
      </c>
      <c r="I27" s="14">
        <v>1</v>
      </c>
      <c r="J27" s="14">
        <v>1</v>
      </c>
      <c r="K27" s="23">
        <v>13901</v>
      </c>
      <c r="L27" s="20"/>
      <c r="M27" s="1">
        <v>25</v>
      </c>
    </row>
    <row r="28" s="1" customFormat="1" spans="1:13">
      <c r="A28" s="8" t="s">
        <v>11</v>
      </c>
      <c r="B28" s="9">
        <f t="shared" si="0"/>
        <v>100</v>
      </c>
      <c r="C28" s="10">
        <v>1</v>
      </c>
      <c r="D28" s="10">
        <v>1</v>
      </c>
      <c r="E28" s="10">
        <v>0</v>
      </c>
      <c r="F28" s="10">
        <v>1</v>
      </c>
      <c r="G28" s="10">
        <v>0</v>
      </c>
      <c r="H28" s="10">
        <v>1</v>
      </c>
      <c r="I28" s="10">
        <v>0</v>
      </c>
      <c r="J28" s="10">
        <v>1</v>
      </c>
      <c r="K28" s="21">
        <v>9901</v>
      </c>
      <c r="L28" s="20"/>
      <c r="M28" s="1">
        <v>-100</v>
      </c>
    </row>
    <row r="29" s="1" customFormat="1" spans="1:13">
      <c r="A29" s="8" t="s">
        <v>12</v>
      </c>
      <c r="B29" s="9">
        <f t="shared" si="0"/>
        <v>75</v>
      </c>
      <c r="C29" s="10">
        <v>1</v>
      </c>
      <c r="D29" s="10">
        <v>1</v>
      </c>
      <c r="E29" s="10">
        <v>0</v>
      </c>
      <c r="F29" s="10">
        <v>1</v>
      </c>
      <c r="G29" s="10">
        <v>0</v>
      </c>
      <c r="H29" s="10">
        <v>0</v>
      </c>
      <c r="I29" s="10">
        <v>1</v>
      </c>
      <c r="J29" s="10">
        <v>1</v>
      </c>
      <c r="K29" s="21">
        <v>13401</v>
      </c>
      <c r="L29" s="20"/>
      <c r="M29" s="1">
        <v>-75</v>
      </c>
    </row>
    <row r="30" s="1" customFormat="1" spans="1:13">
      <c r="A30" s="8" t="s">
        <v>13</v>
      </c>
      <c r="B30" s="9">
        <f t="shared" si="0"/>
        <v>125</v>
      </c>
      <c r="C30" s="10">
        <v>1</v>
      </c>
      <c r="D30" s="10">
        <v>1</v>
      </c>
      <c r="E30" s="10">
        <v>1</v>
      </c>
      <c r="F30" s="10">
        <v>1</v>
      </c>
      <c r="G30" s="10">
        <v>0</v>
      </c>
      <c r="H30" s="10">
        <v>0</v>
      </c>
      <c r="I30" s="10">
        <v>1</v>
      </c>
      <c r="J30" s="10">
        <v>1</v>
      </c>
      <c r="K30" s="21">
        <v>12901</v>
      </c>
      <c r="L30" s="20"/>
      <c r="M30" s="1">
        <v>-125</v>
      </c>
    </row>
    <row r="31" s="1" customFormat="1" spans="1:13">
      <c r="A31" s="8" t="s">
        <v>14</v>
      </c>
      <c r="B31" s="9">
        <f t="shared" si="0"/>
        <v>375</v>
      </c>
      <c r="C31" s="10">
        <v>1</v>
      </c>
      <c r="D31" s="10">
        <v>1</v>
      </c>
      <c r="E31" s="10">
        <v>1</v>
      </c>
      <c r="F31" s="10">
        <v>1</v>
      </c>
      <c r="G31" s="10">
        <v>0</v>
      </c>
      <c r="H31" s="10">
        <v>0</v>
      </c>
      <c r="I31" s="10">
        <v>1</v>
      </c>
      <c r="J31" s="10">
        <v>0</v>
      </c>
      <c r="K31" s="21">
        <v>12401</v>
      </c>
      <c r="L31" s="20"/>
      <c r="M31" s="1">
        <v>-375</v>
      </c>
    </row>
    <row r="32" s="1" customFormat="1" spans="1:13">
      <c r="A32" s="8" t="s">
        <v>15</v>
      </c>
      <c r="B32" s="9">
        <f t="shared" si="0"/>
        <v>425</v>
      </c>
      <c r="C32" s="10">
        <v>1</v>
      </c>
      <c r="D32" s="10">
        <v>1</v>
      </c>
      <c r="E32" s="10">
        <v>1</v>
      </c>
      <c r="F32" s="10">
        <v>0</v>
      </c>
      <c r="G32" s="10">
        <v>0</v>
      </c>
      <c r="H32" s="10">
        <v>1</v>
      </c>
      <c r="I32" s="10">
        <v>1</v>
      </c>
      <c r="J32" s="10">
        <v>1</v>
      </c>
      <c r="K32" s="21">
        <v>13901</v>
      </c>
      <c r="L32" s="20"/>
      <c r="M32" s="1">
        <v>-425</v>
      </c>
    </row>
    <row r="33" s="1" customFormat="1" spans="1:13">
      <c r="A33" s="8" t="s">
        <v>16</v>
      </c>
      <c r="B33" s="9">
        <f t="shared" si="0"/>
        <v>175</v>
      </c>
      <c r="C33" s="10">
        <v>1</v>
      </c>
      <c r="D33" s="10">
        <v>1</v>
      </c>
      <c r="E33" s="10">
        <v>1</v>
      </c>
      <c r="F33" s="10">
        <v>1</v>
      </c>
      <c r="G33" s="10">
        <v>0</v>
      </c>
      <c r="H33" s="10">
        <v>1</v>
      </c>
      <c r="I33" s="10">
        <v>0</v>
      </c>
      <c r="J33" s="10">
        <v>1</v>
      </c>
      <c r="K33" s="21">
        <v>15401</v>
      </c>
      <c r="L33" s="20"/>
      <c r="M33" s="1">
        <v>-175</v>
      </c>
    </row>
    <row r="34" s="1" customFormat="1" spans="1:13">
      <c r="A34" s="8" t="s">
        <v>17</v>
      </c>
      <c r="B34" s="9">
        <f t="shared" si="0"/>
        <v>-125</v>
      </c>
      <c r="C34" s="10">
        <v>0</v>
      </c>
      <c r="D34" s="10">
        <v>1</v>
      </c>
      <c r="E34" s="10">
        <v>1</v>
      </c>
      <c r="F34" s="10">
        <v>1</v>
      </c>
      <c r="G34" s="10">
        <v>0</v>
      </c>
      <c r="H34" s="10">
        <v>0</v>
      </c>
      <c r="I34" s="10">
        <v>1</v>
      </c>
      <c r="J34" s="10">
        <v>1</v>
      </c>
      <c r="K34" s="21">
        <v>13901</v>
      </c>
      <c r="L34" s="20"/>
      <c r="M34" s="1">
        <v>125</v>
      </c>
    </row>
    <row r="35" s="1" customFormat="1" spans="1:13">
      <c r="A35" s="8" t="s">
        <v>18</v>
      </c>
      <c r="B35" s="9">
        <f t="shared" ref="B35:B51" si="1">-M35</f>
        <v>300</v>
      </c>
      <c r="C35" s="10">
        <v>1</v>
      </c>
      <c r="D35" s="10">
        <v>1</v>
      </c>
      <c r="E35" s="10">
        <v>1</v>
      </c>
      <c r="F35" s="10">
        <v>1</v>
      </c>
      <c r="G35" s="10">
        <v>0</v>
      </c>
      <c r="H35" s="10">
        <v>1</v>
      </c>
      <c r="I35" s="10">
        <v>0</v>
      </c>
      <c r="J35" s="10">
        <v>1</v>
      </c>
      <c r="K35" s="21">
        <v>15401</v>
      </c>
      <c r="L35" s="20"/>
      <c r="M35" s="1">
        <v>-300</v>
      </c>
    </row>
    <row r="36" s="1" customFormat="1" spans="1:13">
      <c r="A36" s="8" t="s">
        <v>19</v>
      </c>
      <c r="B36" s="9">
        <f t="shared" si="1"/>
        <v>25</v>
      </c>
      <c r="C36" s="10">
        <v>0</v>
      </c>
      <c r="D36" s="10">
        <v>1</v>
      </c>
      <c r="E36" s="10">
        <v>0</v>
      </c>
      <c r="F36" s="10">
        <v>1</v>
      </c>
      <c r="G36" s="10">
        <v>0</v>
      </c>
      <c r="H36" s="10">
        <v>0</v>
      </c>
      <c r="I36" s="10">
        <v>1</v>
      </c>
      <c r="J36" s="10">
        <v>1</v>
      </c>
      <c r="K36" s="21">
        <v>15401</v>
      </c>
      <c r="L36" s="20"/>
      <c r="M36" s="1">
        <v>-25</v>
      </c>
    </row>
    <row r="37" s="1" customFormat="1" spans="1:13">
      <c r="A37" s="8" t="s">
        <v>20</v>
      </c>
      <c r="B37" s="9">
        <f t="shared" si="1"/>
        <v>125</v>
      </c>
      <c r="C37" s="10">
        <v>1</v>
      </c>
      <c r="D37" s="10">
        <v>1</v>
      </c>
      <c r="E37" s="10">
        <v>1</v>
      </c>
      <c r="F37" s="10">
        <v>0</v>
      </c>
      <c r="G37" s="10">
        <v>0</v>
      </c>
      <c r="H37" s="10">
        <v>0</v>
      </c>
      <c r="I37" s="10">
        <v>1</v>
      </c>
      <c r="J37" s="10">
        <v>1</v>
      </c>
      <c r="K37" s="21">
        <v>12901</v>
      </c>
      <c r="L37" s="20"/>
      <c r="M37" s="1">
        <v>-125</v>
      </c>
    </row>
    <row r="38" s="1" customFormat="1" spans="1:13">
      <c r="A38" s="8" t="s">
        <v>21</v>
      </c>
      <c r="B38" s="9">
        <f t="shared" si="1"/>
        <v>150</v>
      </c>
      <c r="C38" s="10">
        <v>1</v>
      </c>
      <c r="D38" s="10">
        <v>1</v>
      </c>
      <c r="E38" s="10">
        <v>0</v>
      </c>
      <c r="F38" s="10">
        <v>1</v>
      </c>
      <c r="G38" s="10">
        <v>0</v>
      </c>
      <c r="H38" s="10">
        <v>1</v>
      </c>
      <c r="I38" s="10">
        <v>0</v>
      </c>
      <c r="J38" s="10">
        <v>0</v>
      </c>
      <c r="K38" s="21">
        <v>12901</v>
      </c>
      <c r="L38" s="20"/>
      <c r="M38" s="1">
        <v>-150</v>
      </c>
    </row>
    <row r="39" s="1" customFormat="1" spans="1:13">
      <c r="A39" s="8" t="s">
        <v>22</v>
      </c>
      <c r="B39" s="9">
        <f t="shared" si="1"/>
        <v>550</v>
      </c>
      <c r="C39" s="10">
        <v>1</v>
      </c>
      <c r="D39" s="10">
        <v>1</v>
      </c>
      <c r="E39" s="10">
        <v>1</v>
      </c>
      <c r="F39" s="10">
        <v>0</v>
      </c>
      <c r="G39" s="10">
        <v>1</v>
      </c>
      <c r="H39" s="10">
        <v>1</v>
      </c>
      <c r="I39" s="10">
        <v>1</v>
      </c>
      <c r="J39" s="10">
        <v>1</v>
      </c>
      <c r="K39" s="21">
        <v>14401</v>
      </c>
      <c r="L39" s="20"/>
      <c r="M39" s="1">
        <v>-550</v>
      </c>
    </row>
    <row r="40" s="1" customFormat="1" spans="1:13">
      <c r="A40" s="8" t="s">
        <v>23</v>
      </c>
      <c r="B40" s="9">
        <f t="shared" si="1"/>
        <v>75</v>
      </c>
      <c r="C40" s="10">
        <v>0</v>
      </c>
      <c r="D40" s="10">
        <v>1</v>
      </c>
      <c r="E40" s="10">
        <v>0</v>
      </c>
      <c r="F40" s="10">
        <v>1</v>
      </c>
      <c r="G40" s="10">
        <v>0</v>
      </c>
      <c r="H40" s="10">
        <v>0</v>
      </c>
      <c r="I40" s="10">
        <v>1</v>
      </c>
      <c r="J40" s="10">
        <v>0</v>
      </c>
      <c r="K40" s="21">
        <v>14901</v>
      </c>
      <c r="L40" s="20"/>
      <c r="M40" s="1">
        <v>-75</v>
      </c>
    </row>
    <row r="41" s="1" customFormat="1" spans="1:13">
      <c r="A41" s="8" t="s">
        <v>24</v>
      </c>
      <c r="B41" s="9">
        <f t="shared" si="1"/>
        <v>250</v>
      </c>
      <c r="C41" s="10">
        <v>1</v>
      </c>
      <c r="D41" s="10">
        <v>1</v>
      </c>
      <c r="E41" s="10">
        <v>1</v>
      </c>
      <c r="F41" s="10">
        <v>1</v>
      </c>
      <c r="G41" s="10">
        <v>1</v>
      </c>
      <c r="H41" s="10">
        <v>0</v>
      </c>
      <c r="I41" s="10">
        <v>0</v>
      </c>
      <c r="J41" s="10">
        <v>0</v>
      </c>
      <c r="K41" s="21">
        <v>12901</v>
      </c>
      <c r="L41" s="20"/>
      <c r="M41" s="1">
        <v>-250</v>
      </c>
    </row>
    <row r="42" s="1" customFormat="1" spans="1:13">
      <c r="A42" s="8" t="s">
        <v>25</v>
      </c>
      <c r="B42" s="9">
        <f t="shared" si="1"/>
        <v>250</v>
      </c>
      <c r="C42" s="10">
        <v>1</v>
      </c>
      <c r="D42" s="10">
        <v>1</v>
      </c>
      <c r="E42" s="10">
        <v>0</v>
      </c>
      <c r="F42" s="10">
        <v>1</v>
      </c>
      <c r="G42" s="10">
        <v>0</v>
      </c>
      <c r="H42" s="10">
        <v>0</v>
      </c>
      <c r="I42" s="10">
        <v>0</v>
      </c>
      <c r="J42" s="10">
        <v>1</v>
      </c>
      <c r="K42" s="21">
        <v>8901</v>
      </c>
      <c r="L42" s="20"/>
      <c r="M42" s="1">
        <v>-250</v>
      </c>
    </row>
    <row r="43" s="1" customFormat="1" spans="1:13">
      <c r="A43" s="8" t="s">
        <v>26</v>
      </c>
      <c r="B43" s="9">
        <f t="shared" si="1"/>
        <v>100</v>
      </c>
      <c r="C43" s="10">
        <v>0</v>
      </c>
      <c r="D43" s="10">
        <v>1</v>
      </c>
      <c r="E43" s="10">
        <v>0</v>
      </c>
      <c r="F43" s="10">
        <v>1</v>
      </c>
      <c r="G43" s="10">
        <v>1</v>
      </c>
      <c r="H43" s="10">
        <v>1</v>
      </c>
      <c r="I43" s="10">
        <v>0</v>
      </c>
      <c r="J43" s="10">
        <v>1</v>
      </c>
      <c r="K43" s="21">
        <v>15901</v>
      </c>
      <c r="L43" s="20"/>
      <c r="M43" s="1">
        <v>-100</v>
      </c>
    </row>
    <row r="44" s="1" customFormat="1" spans="1:13">
      <c r="A44" s="8" t="s">
        <v>27</v>
      </c>
      <c r="B44" s="9">
        <f t="shared" si="1"/>
        <v>250</v>
      </c>
      <c r="C44" s="10">
        <v>0</v>
      </c>
      <c r="D44" s="10">
        <v>1</v>
      </c>
      <c r="E44" s="10">
        <v>1</v>
      </c>
      <c r="F44" s="10">
        <v>1</v>
      </c>
      <c r="G44" s="10">
        <v>1</v>
      </c>
      <c r="H44" s="10">
        <v>1</v>
      </c>
      <c r="I44" s="10">
        <v>0</v>
      </c>
      <c r="J44" s="10">
        <v>0</v>
      </c>
      <c r="K44" s="21">
        <v>13401</v>
      </c>
      <c r="L44" s="20"/>
      <c r="M44" s="1">
        <v>-250</v>
      </c>
    </row>
    <row r="45" s="1" customFormat="1" spans="1:13">
      <c r="A45" s="8" t="s">
        <v>28</v>
      </c>
      <c r="B45" s="9">
        <f t="shared" si="1"/>
        <v>-100</v>
      </c>
      <c r="C45" s="10">
        <v>0</v>
      </c>
      <c r="D45" s="10">
        <v>1</v>
      </c>
      <c r="E45" s="10">
        <v>0</v>
      </c>
      <c r="F45" s="10">
        <v>0</v>
      </c>
      <c r="G45" s="10">
        <v>1</v>
      </c>
      <c r="H45" s="10">
        <v>0</v>
      </c>
      <c r="I45" s="10">
        <v>0</v>
      </c>
      <c r="J45" s="10">
        <v>1</v>
      </c>
      <c r="K45" s="21">
        <v>12401</v>
      </c>
      <c r="L45" s="20"/>
      <c r="M45" s="1">
        <v>100</v>
      </c>
    </row>
    <row r="46" s="1" customFormat="1" spans="1:13">
      <c r="A46" s="8" t="s">
        <v>29</v>
      </c>
      <c r="B46" s="9">
        <f t="shared" si="1"/>
        <v>200</v>
      </c>
      <c r="C46" s="10">
        <v>1</v>
      </c>
      <c r="D46" s="10">
        <v>1</v>
      </c>
      <c r="E46" s="10">
        <v>0</v>
      </c>
      <c r="F46" s="10">
        <v>0</v>
      </c>
      <c r="G46" s="10">
        <v>1</v>
      </c>
      <c r="H46" s="10">
        <v>1</v>
      </c>
      <c r="I46" s="10">
        <v>0</v>
      </c>
      <c r="J46" s="10">
        <v>1</v>
      </c>
      <c r="K46" s="21">
        <v>11401</v>
      </c>
      <c r="L46" s="20"/>
      <c r="M46" s="1">
        <v>-200</v>
      </c>
    </row>
    <row r="47" s="1" customFormat="1" spans="1:13">
      <c r="A47" s="8" t="s">
        <v>30</v>
      </c>
      <c r="B47" s="9">
        <f t="shared" si="1"/>
        <v>-100</v>
      </c>
      <c r="C47" s="10">
        <v>0</v>
      </c>
      <c r="D47" s="10">
        <v>1</v>
      </c>
      <c r="E47" s="10">
        <v>0</v>
      </c>
      <c r="F47" s="10">
        <v>1</v>
      </c>
      <c r="G47" s="10">
        <v>0</v>
      </c>
      <c r="H47" s="10">
        <v>1</v>
      </c>
      <c r="I47" s="10">
        <v>1</v>
      </c>
      <c r="J47" s="10">
        <v>1</v>
      </c>
      <c r="K47" s="21">
        <v>12901</v>
      </c>
      <c r="L47" s="20"/>
      <c r="M47" s="1">
        <v>100</v>
      </c>
    </row>
    <row r="48" s="1" customFormat="1" spans="1:13">
      <c r="A48" s="8" t="s">
        <v>31</v>
      </c>
      <c r="B48" s="9">
        <f t="shared" si="1"/>
        <v>-275</v>
      </c>
      <c r="C48" s="10">
        <v>0</v>
      </c>
      <c r="D48" s="10">
        <v>1</v>
      </c>
      <c r="E48" s="10">
        <v>1</v>
      </c>
      <c r="F48" s="10">
        <v>1</v>
      </c>
      <c r="G48" s="10">
        <v>1</v>
      </c>
      <c r="H48" s="10">
        <v>1</v>
      </c>
      <c r="I48" s="10">
        <v>0</v>
      </c>
      <c r="J48" s="10">
        <v>1</v>
      </c>
      <c r="K48" s="21">
        <v>15901</v>
      </c>
      <c r="L48" s="20"/>
      <c r="M48" s="1">
        <v>275</v>
      </c>
    </row>
    <row r="49" s="1" customFormat="1" spans="1:13">
      <c r="A49" s="8" t="s">
        <v>32</v>
      </c>
      <c r="B49" s="9">
        <f t="shared" si="1"/>
        <v>50</v>
      </c>
      <c r="C49" s="10">
        <v>1</v>
      </c>
      <c r="D49" s="10">
        <v>1</v>
      </c>
      <c r="E49" s="10">
        <v>0</v>
      </c>
      <c r="F49" s="10">
        <v>1</v>
      </c>
      <c r="G49" s="10">
        <v>0</v>
      </c>
      <c r="H49" s="10">
        <v>1</v>
      </c>
      <c r="I49" s="10">
        <v>0</v>
      </c>
      <c r="J49" s="10">
        <v>0</v>
      </c>
      <c r="K49" s="21">
        <v>11401</v>
      </c>
      <c r="L49" s="20"/>
      <c r="M49" s="1">
        <v>-50</v>
      </c>
    </row>
    <row r="50" s="1" customFormat="1" spans="1:13">
      <c r="A50" s="8" t="s">
        <v>33</v>
      </c>
      <c r="B50" s="9">
        <f t="shared" si="1"/>
        <v>200</v>
      </c>
      <c r="C50" s="10">
        <v>1</v>
      </c>
      <c r="D50" s="10">
        <v>1</v>
      </c>
      <c r="E50" s="10">
        <v>0</v>
      </c>
      <c r="F50" s="10">
        <v>0</v>
      </c>
      <c r="G50" s="10">
        <v>1</v>
      </c>
      <c r="H50" s="10">
        <v>1</v>
      </c>
      <c r="I50" s="10">
        <v>0</v>
      </c>
      <c r="J50" s="10">
        <v>0</v>
      </c>
      <c r="K50" s="21">
        <v>15401</v>
      </c>
      <c r="L50" s="20"/>
      <c r="M50" s="1">
        <v>-200</v>
      </c>
    </row>
    <row r="51" s="1" customFormat="1" ht="14.25" spans="1:13">
      <c r="A51" s="15" t="s">
        <v>34</v>
      </c>
      <c r="B51" s="11">
        <f t="shared" si="1"/>
        <v>250</v>
      </c>
      <c r="C51" s="12">
        <v>1</v>
      </c>
      <c r="D51" s="12">
        <v>1</v>
      </c>
      <c r="E51" s="12">
        <v>1</v>
      </c>
      <c r="F51" s="12">
        <v>1</v>
      </c>
      <c r="G51" s="12">
        <v>0</v>
      </c>
      <c r="H51" s="12">
        <v>1</v>
      </c>
      <c r="I51" s="12">
        <v>0</v>
      </c>
      <c r="J51" s="12">
        <v>0</v>
      </c>
      <c r="K51" s="22">
        <v>13401</v>
      </c>
      <c r="L51" s="20"/>
      <c r="M51" s="1">
        <v>-250</v>
      </c>
    </row>
    <row r="52" spans="1:11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汇总</vt:lpstr>
      <vt:lpstr>补曾修正725</vt:lpstr>
      <vt:lpstr>折线对比1</vt:lpstr>
      <vt:lpstr>折线对比2</vt:lpstr>
      <vt:lpstr>矿工阳光消耗</vt:lpstr>
      <vt:lpstr>模型参数</vt:lpstr>
      <vt:lpstr>破阵率</vt:lpstr>
      <vt:lpstr>截图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乔荔(2022012959)</cp:lastModifiedBy>
  <dcterms:created xsi:type="dcterms:W3CDTF">2025-02-03T01:50:00Z</dcterms:created>
  <dcterms:modified xsi:type="dcterms:W3CDTF">2025-04-12T00:59:05Z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D4A6D8782FF748E1B7A89F134702C9EF_12</vt:lpwstr>
  </property>
  <property fmtid="{D5CDD505-2E9C-101B-9397-08002B2CF9AE}" pid="3" name="KSOProductBuildVer">
    <vt:lpwstr>2052-11.1.0.14036</vt:lpwstr>
  </property>
</Properties>
</file>