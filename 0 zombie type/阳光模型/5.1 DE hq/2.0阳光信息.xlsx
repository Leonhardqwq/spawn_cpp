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00" windowHeight="7965" activeTab="1"/>
  </bookViews>
  <sheets>
    <sheet name="汇总" sheetId="4" r:id="rId1"/>
    <sheet name="破阵率" sheetId="12" r:id="rId2"/>
    <sheet name="额外阳光消耗" sheetId="6" r:id="rId3"/>
    <sheet name="模型参数" sheetId="5" r:id="rId4"/>
    <sheet name="折线对比1" sheetId="7" r:id="rId5"/>
    <sheet name="样本" sheetId="11" r:id="rId6"/>
    <sheet name="截图" sheetId="10" r:id="rId7"/>
  </sheets>
  <externalReferences>
    <externalReference r:id="rId8"/>
  </externalReferences>
  <calcPr calcId="144525"/>
</workbook>
</file>

<file path=xl/sharedStrings.xml><?xml version="1.0" encoding="utf-8"?>
<sst xmlns="http://schemas.openxmlformats.org/spreadsheetml/2006/main" count="197" uniqueCount="106">
  <si>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</si>
  <si>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</si>
  <si>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</si>
  <si>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</si>
  <si>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</si>
  <si>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</si>
  <si>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</si>
  <si>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</si>
  <si>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</si>
  <si>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</si>
  <si>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</si>
  <si>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</si>
  <si>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</si>
  <si>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</si>
  <si>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</si>
  <si>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</si>
  <si>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</si>
  <si>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</si>
  <si>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</si>
  <si>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</si>
  <si>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</si>
  <si>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</si>
  <si>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</si>
  <si>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</si>
  <si>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</si>
  <si>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</si>
  <si>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</si>
  <si>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</si>
  <si>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</si>
  <si>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</si>
  <si>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</si>
  <si>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</si>
  <si>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2022f</t>
  </si>
  <si>
    <t>2024f</t>
  </si>
  <si>
    <t>2026f</t>
  </si>
  <si>
    <t>2028f</t>
  </si>
  <si>
    <t>2030f</t>
  </si>
  <si>
    <t>2032f</t>
  </si>
  <si>
    <t>2034f</t>
  </si>
  <si>
    <t>2036f</t>
  </si>
  <si>
    <t>2038f</t>
  </si>
  <si>
    <t>2040f</t>
  </si>
  <si>
    <t>2042f</t>
  </si>
  <si>
    <t>2044f</t>
  </si>
  <si>
    <t>2046f</t>
  </si>
  <si>
    <t>2048f</t>
  </si>
  <si>
    <t>2050f</t>
  </si>
  <si>
    <t>2052f</t>
  </si>
  <si>
    <t>2054f</t>
  </si>
  <si>
    <t>2056f</t>
  </si>
  <si>
    <t>2058f</t>
  </si>
  <si>
    <t>2060f</t>
  </si>
  <si>
    <t>2062f</t>
  </si>
  <si>
    <t>2064f</t>
  </si>
  <si>
    <t>2066f</t>
  </si>
  <si>
    <t>2068f</t>
  </si>
  <si>
    <t>2070f</t>
  </si>
  <si>
    <t>2072f</t>
  </si>
  <si>
    <t>2074f</t>
  </si>
  <si>
    <t>2076f</t>
  </si>
  <si>
    <t>2078f</t>
  </si>
  <si>
    <t>2080f</t>
  </si>
  <si>
    <t>2082f</t>
  </si>
  <si>
    <t>2084f</t>
  </si>
  <si>
    <t>2086f</t>
  </si>
  <si>
    <t>2088f</t>
  </si>
  <si>
    <t>2090f</t>
  </si>
  <si>
    <t>2092f</t>
  </si>
  <si>
    <t>2094f</t>
  </si>
  <si>
    <t>2096f</t>
  </si>
  <si>
    <t>2098f</t>
  </si>
  <si>
    <t>2100f</t>
  </si>
  <si>
    <t>2102f</t>
  </si>
  <si>
    <t>百f</t>
  </si>
  <si>
    <t>千f</t>
  </si>
  <si>
    <t>万f</t>
  </si>
  <si>
    <t>sum</t>
  </si>
  <si>
    <t>可减少</t>
  </si>
  <si>
    <t>/</t>
  </si>
  <si>
    <t>前</t>
  </si>
  <si>
    <t>后</t>
  </si>
  <si>
    <t>总</t>
  </si>
  <si>
    <t>净</t>
  </si>
  <si>
    <t>阳光</t>
  </si>
  <si>
    <t>操作引入</t>
  </si>
  <si>
    <t>回升</t>
  </si>
  <si>
    <t>曾损引入</t>
  </si>
  <si>
    <t>额外</t>
  </si>
  <si>
    <t>南瓜引入</t>
  </si>
  <si>
    <t>净回升</t>
  </si>
  <si>
    <t>额外引入</t>
  </si>
  <si>
    <t>均摊</t>
  </si>
  <si>
    <t>const</t>
  </si>
  <si>
    <t>期望</t>
  </si>
  <si>
    <t>dlt</t>
  </si>
  <si>
    <t>pred</t>
  </si>
  <si>
    <t>hqyx-adj</t>
  </si>
  <si>
    <t>hqyx-ori</t>
  </si>
  <si>
    <t>hqyx-dlt</t>
  </si>
  <si>
    <t>红</t>
  </si>
  <si>
    <t>车</t>
  </si>
  <si>
    <t>橄</t>
  </si>
  <si>
    <t>气</t>
  </si>
  <si>
    <t>舞</t>
  </si>
  <si>
    <t>杆</t>
  </si>
  <si>
    <t>白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</si>
</sst>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0.5"/>
      <name val="Segoe UI"/>
      <charset val="134"/>
    </font>
    <font>
      <sz val="10.5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2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176" fontId="0" fillId="2" borderId="0" xfId="0" applyNumberFormat="1" applyFont="1" applyFill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176" fontId="0" fillId="2" borderId="1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折线对比1!$C$1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折线对比1!$C$2:$C$53</c:f>
              <c:numCache>
                <c:formatCode>General</c:formatCode>
                <c:ptCount val="52"/>
                <c:pt idx="0">
                  <c:v>0</c:v>
                </c:pt>
                <c:pt idx="1">
                  <c:v>623.66</c:v>
                </c:pt>
                <c:pt idx="2">
                  <c:v>-327.68</c:v>
                </c:pt>
                <c:pt idx="3">
                  <c:v>720.98</c:v>
                </c:pt>
                <c:pt idx="4">
                  <c:v>694.64</c:v>
                </c:pt>
                <c:pt idx="5">
                  <c:v>618.3</c:v>
                </c:pt>
                <c:pt idx="6">
                  <c:v>1391.96</c:v>
                </c:pt>
                <c:pt idx="7">
                  <c:v>1665.62</c:v>
                </c:pt>
                <c:pt idx="8">
                  <c:v>714.28</c:v>
                </c:pt>
                <c:pt idx="9">
                  <c:v>862.94</c:v>
                </c:pt>
                <c:pt idx="10">
                  <c:v>1211.6</c:v>
                </c:pt>
                <c:pt idx="11">
                  <c:v>335.26</c:v>
                </c:pt>
                <c:pt idx="12">
                  <c:v>633.92</c:v>
                </c:pt>
                <c:pt idx="13">
                  <c:v>1707.58</c:v>
                </c:pt>
                <c:pt idx="14">
                  <c:v>806.24</c:v>
                </c:pt>
                <c:pt idx="15">
                  <c:v>1079.9</c:v>
                </c:pt>
                <c:pt idx="16">
                  <c:v>1403.56</c:v>
                </c:pt>
                <c:pt idx="17">
                  <c:v>1852.22</c:v>
                </c:pt>
                <c:pt idx="18">
                  <c:v>1550.88</c:v>
                </c:pt>
                <c:pt idx="19">
                  <c:v>1574.54</c:v>
                </c:pt>
                <c:pt idx="20">
                  <c:v>923.2</c:v>
                </c:pt>
                <c:pt idx="21">
                  <c:v>2296.86</c:v>
                </c:pt>
                <c:pt idx="22">
                  <c:v>2070.52</c:v>
                </c:pt>
                <c:pt idx="23">
                  <c:v>2019.18</c:v>
                </c:pt>
                <c:pt idx="24">
                  <c:v>2342.84</c:v>
                </c:pt>
                <c:pt idx="25">
                  <c:v>2716.5</c:v>
                </c:pt>
                <c:pt idx="26">
                  <c:v>1865.16</c:v>
                </c:pt>
                <c:pt idx="27">
                  <c:v>3413.82</c:v>
                </c:pt>
                <c:pt idx="28">
                  <c:v>3462.48</c:v>
                </c:pt>
                <c:pt idx="29">
                  <c:v>3011.14</c:v>
                </c:pt>
                <c:pt idx="30">
                  <c:v>1634.8</c:v>
                </c:pt>
                <c:pt idx="31">
                  <c:v>1233.46</c:v>
                </c:pt>
                <c:pt idx="32">
                  <c:v>2357.12</c:v>
                </c:pt>
                <c:pt idx="33">
                  <c:v>2855.78</c:v>
                </c:pt>
                <c:pt idx="34">
                  <c:v>3229.44</c:v>
                </c:pt>
                <c:pt idx="35">
                  <c:v>3028.1</c:v>
                </c:pt>
                <c:pt idx="36">
                  <c:v>2576.76</c:v>
                </c:pt>
                <c:pt idx="37">
                  <c:v>2375.42</c:v>
                </c:pt>
                <c:pt idx="38">
                  <c:v>3324.08</c:v>
                </c:pt>
                <c:pt idx="39">
                  <c:v>2222.74</c:v>
                </c:pt>
                <c:pt idx="40">
                  <c:v>2596.4</c:v>
                </c:pt>
                <c:pt idx="41">
                  <c:v>3320.06</c:v>
                </c:pt>
                <c:pt idx="42">
                  <c:v>2943.72</c:v>
                </c:pt>
                <c:pt idx="43">
                  <c:v>1567.38</c:v>
                </c:pt>
                <c:pt idx="44">
                  <c:v>341.039999999998</c:v>
                </c:pt>
                <c:pt idx="45">
                  <c:v>-810.300000000002</c:v>
                </c:pt>
                <c:pt idx="46">
                  <c:v>-1586.64</c:v>
                </c:pt>
                <c:pt idx="47">
                  <c:v>-637.980000000002</c:v>
                </c:pt>
                <c:pt idx="48">
                  <c:v>-1014.32</c:v>
                </c:pt>
                <c:pt idx="49">
                  <c:v>-240.660000000002</c:v>
                </c:pt>
                <c:pt idx="50">
                  <c:v>1008</c:v>
                </c:pt>
                <c:pt idx="51">
                  <c:v>2406.66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折线对比1!$D$1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折线对比1!$D$2:$D$53</c:f>
              <c:numCache>
                <c:formatCode>General</c:formatCode>
                <c:ptCount val="52"/>
                <c:pt idx="0">
                  <c:v>0</c:v>
                </c:pt>
                <c:pt idx="1">
                  <c:v>373</c:v>
                </c:pt>
                <c:pt idx="2">
                  <c:v>-793</c:v>
                </c:pt>
                <c:pt idx="3">
                  <c:v>268</c:v>
                </c:pt>
                <c:pt idx="4">
                  <c:v>377</c:v>
                </c:pt>
                <c:pt idx="5">
                  <c:v>302</c:v>
                </c:pt>
                <c:pt idx="6">
                  <c:v>1008</c:v>
                </c:pt>
                <c:pt idx="7">
                  <c:v>1743</c:v>
                </c:pt>
                <c:pt idx="8">
                  <c:v>928</c:v>
                </c:pt>
                <c:pt idx="9">
                  <c:v>680</c:v>
                </c:pt>
                <c:pt idx="10">
                  <c:v>1077</c:v>
                </c:pt>
                <c:pt idx="11">
                  <c:v>85</c:v>
                </c:pt>
                <c:pt idx="12">
                  <c:v>212</c:v>
                </c:pt>
                <c:pt idx="13">
                  <c:v>1262</c:v>
                </c:pt>
                <c:pt idx="14">
                  <c:v>256</c:v>
                </c:pt>
                <c:pt idx="15">
                  <c:v>370</c:v>
                </c:pt>
                <c:pt idx="16">
                  <c:v>817</c:v>
                </c:pt>
                <c:pt idx="17">
                  <c:v>1258</c:v>
                </c:pt>
                <c:pt idx="18">
                  <c:v>511</c:v>
                </c:pt>
                <c:pt idx="19">
                  <c:v>625</c:v>
                </c:pt>
                <c:pt idx="20">
                  <c:v>569</c:v>
                </c:pt>
                <c:pt idx="21">
                  <c:v>1803</c:v>
                </c:pt>
                <c:pt idx="22">
                  <c:v>1666</c:v>
                </c:pt>
                <c:pt idx="23">
                  <c:v>1449</c:v>
                </c:pt>
                <c:pt idx="24">
                  <c:v>1646</c:v>
                </c:pt>
                <c:pt idx="25">
                  <c:v>2192</c:v>
                </c:pt>
                <c:pt idx="26">
                  <c:v>1627</c:v>
                </c:pt>
                <c:pt idx="27">
                  <c:v>2696</c:v>
                </c:pt>
                <c:pt idx="28">
                  <c:v>2632</c:v>
                </c:pt>
                <c:pt idx="29">
                  <c:v>2764</c:v>
                </c:pt>
                <c:pt idx="30">
                  <c:v>1408</c:v>
                </c:pt>
                <c:pt idx="31">
                  <c:v>1017</c:v>
                </c:pt>
                <c:pt idx="32">
                  <c:v>2166</c:v>
                </c:pt>
                <c:pt idx="33">
                  <c:v>2625</c:v>
                </c:pt>
                <c:pt idx="34">
                  <c:v>3077</c:v>
                </c:pt>
                <c:pt idx="35">
                  <c:v>2677</c:v>
                </c:pt>
                <c:pt idx="36">
                  <c:v>2004</c:v>
                </c:pt>
                <c:pt idx="37">
                  <c:v>1775</c:v>
                </c:pt>
                <c:pt idx="38">
                  <c:v>2593</c:v>
                </c:pt>
                <c:pt idx="39">
                  <c:v>1338</c:v>
                </c:pt>
                <c:pt idx="40">
                  <c:v>1896</c:v>
                </c:pt>
                <c:pt idx="41">
                  <c:v>2606</c:v>
                </c:pt>
                <c:pt idx="42">
                  <c:v>2297</c:v>
                </c:pt>
                <c:pt idx="43">
                  <c:v>2055</c:v>
                </c:pt>
                <c:pt idx="44">
                  <c:v>1125</c:v>
                </c:pt>
                <c:pt idx="45">
                  <c:v>21</c:v>
                </c:pt>
                <c:pt idx="46">
                  <c:v>-971</c:v>
                </c:pt>
                <c:pt idx="47">
                  <c:v>-236</c:v>
                </c:pt>
                <c:pt idx="48">
                  <c:v>-718</c:v>
                </c:pt>
                <c:pt idx="49">
                  <c:v>-86</c:v>
                </c:pt>
                <c:pt idx="50">
                  <c:v>981</c:v>
                </c:pt>
                <c:pt idx="51">
                  <c:v>2407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4000"/>
          <c:min val="-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对比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[1]冲关!$E$1</c:f>
              <c:strCache>
                <c:ptCount val="1"/>
                <c:pt idx="0">
                  <c:v>pred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[1]冲关!$A$2:$A$53</c:f>
              <c:numCache>
                <c:formatCode>General</c:formatCode>
                <c:ptCount val="52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  <c:pt idx="21">
                  <c:v>2042</c:v>
                </c:pt>
                <c:pt idx="22">
                  <c:v>2044</c:v>
                </c:pt>
                <c:pt idx="23">
                  <c:v>2046</c:v>
                </c:pt>
                <c:pt idx="24">
                  <c:v>2048</c:v>
                </c:pt>
                <c:pt idx="25">
                  <c:v>2050</c:v>
                </c:pt>
                <c:pt idx="26">
                  <c:v>2052</c:v>
                </c:pt>
                <c:pt idx="27">
                  <c:v>2054</c:v>
                </c:pt>
                <c:pt idx="28">
                  <c:v>2056</c:v>
                </c:pt>
                <c:pt idx="29">
                  <c:v>2058</c:v>
                </c:pt>
                <c:pt idx="30">
                  <c:v>2060</c:v>
                </c:pt>
                <c:pt idx="31">
                  <c:v>2062</c:v>
                </c:pt>
                <c:pt idx="32">
                  <c:v>2064</c:v>
                </c:pt>
                <c:pt idx="33">
                  <c:v>2066</c:v>
                </c:pt>
                <c:pt idx="34">
                  <c:v>2068</c:v>
                </c:pt>
                <c:pt idx="35">
                  <c:v>2070</c:v>
                </c:pt>
                <c:pt idx="36">
                  <c:v>2072</c:v>
                </c:pt>
                <c:pt idx="37">
                  <c:v>2074</c:v>
                </c:pt>
                <c:pt idx="38">
                  <c:v>2076</c:v>
                </c:pt>
                <c:pt idx="39">
                  <c:v>2078</c:v>
                </c:pt>
                <c:pt idx="40">
                  <c:v>2080</c:v>
                </c:pt>
                <c:pt idx="41">
                  <c:v>2082</c:v>
                </c:pt>
                <c:pt idx="42">
                  <c:v>2084</c:v>
                </c:pt>
                <c:pt idx="43">
                  <c:v>2086</c:v>
                </c:pt>
                <c:pt idx="44">
                  <c:v>2088</c:v>
                </c:pt>
                <c:pt idx="45">
                  <c:v>2090</c:v>
                </c:pt>
                <c:pt idx="46">
                  <c:v>2092</c:v>
                </c:pt>
                <c:pt idx="47">
                  <c:v>2094</c:v>
                </c:pt>
                <c:pt idx="48">
                  <c:v>2096</c:v>
                </c:pt>
                <c:pt idx="49">
                  <c:v>2098</c:v>
                </c:pt>
                <c:pt idx="50">
                  <c:v>2100</c:v>
                </c:pt>
                <c:pt idx="51">
                  <c:v>2102</c:v>
                </c:pt>
              </c:numCache>
            </c:numRef>
          </c:xVal>
          <c:yVal>
            <c:numRef>
              <c:f>[1]冲关!$E$2:$E$53</c:f>
              <c:numCache>
                <c:formatCode>General</c:formatCode>
                <c:ptCount val="52"/>
                <c:pt idx="0">
                  <c:v>0</c:v>
                </c:pt>
                <c:pt idx="1">
                  <c:v>469</c:v>
                </c:pt>
                <c:pt idx="2">
                  <c:v>-920</c:v>
                </c:pt>
                <c:pt idx="3">
                  <c:v>-8</c:v>
                </c:pt>
                <c:pt idx="4">
                  <c:v>445</c:v>
                </c:pt>
                <c:pt idx="5">
                  <c:v>561</c:v>
                </c:pt>
                <c:pt idx="6">
                  <c:v>1329</c:v>
                </c:pt>
                <c:pt idx="7">
                  <c:v>2028</c:v>
                </c:pt>
                <c:pt idx="8">
                  <c:v>1367</c:v>
                </c:pt>
                <c:pt idx="9">
                  <c:v>1045</c:v>
                </c:pt>
                <c:pt idx="10">
                  <c:v>1374</c:v>
                </c:pt>
                <c:pt idx="11">
                  <c:v>640</c:v>
                </c:pt>
                <c:pt idx="12">
                  <c:v>1020</c:v>
                </c:pt>
                <c:pt idx="13">
                  <c:v>1944</c:v>
                </c:pt>
                <c:pt idx="14">
                  <c:v>1064</c:v>
                </c:pt>
                <c:pt idx="15">
                  <c:v>680</c:v>
                </c:pt>
                <c:pt idx="16">
                  <c:v>1648</c:v>
                </c:pt>
                <c:pt idx="17">
                  <c:v>2472</c:v>
                </c:pt>
                <c:pt idx="18">
                  <c:v>1548</c:v>
                </c:pt>
                <c:pt idx="19">
                  <c:v>1456</c:v>
                </c:pt>
                <c:pt idx="20">
                  <c:v>1511</c:v>
                </c:pt>
                <c:pt idx="21">
                  <c:v>2569</c:v>
                </c:pt>
                <c:pt idx="22">
                  <c:v>2352</c:v>
                </c:pt>
                <c:pt idx="23">
                  <c:v>2304</c:v>
                </c:pt>
                <c:pt idx="24">
                  <c:v>2594</c:v>
                </c:pt>
                <c:pt idx="25">
                  <c:v>2956</c:v>
                </c:pt>
                <c:pt idx="26">
                  <c:v>2054</c:v>
                </c:pt>
                <c:pt idx="27">
                  <c:v>3260</c:v>
                </c:pt>
                <c:pt idx="28">
                  <c:v>3060</c:v>
                </c:pt>
                <c:pt idx="29">
                  <c:v>3584</c:v>
                </c:pt>
                <c:pt idx="30">
                  <c:v>2560</c:v>
                </c:pt>
                <c:pt idx="31">
                  <c:v>1551</c:v>
                </c:pt>
                <c:pt idx="32">
                  <c:v>3324</c:v>
                </c:pt>
                <c:pt idx="33">
                  <c:v>4511</c:v>
                </c:pt>
                <c:pt idx="34">
                  <c:v>4924</c:v>
                </c:pt>
                <c:pt idx="35">
                  <c:v>5047</c:v>
                </c:pt>
                <c:pt idx="36">
                  <c:v>4719</c:v>
                </c:pt>
                <c:pt idx="37">
                  <c:v>4774</c:v>
                </c:pt>
                <c:pt idx="38">
                  <c:v>6182</c:v>
                </c:pt>
                <c:pt idx="39">
                  <c:v>5242</c:v>
                </c:pt>
                <c:pt idx="40">
                  <c:v>6224</c:v>
                </c:pt>
                <c:pt idx="41">
                  <c:v>6554</c:v>
                </c:pt>
                <c:pt idx="42">
                  <c:v>6735</c:v>
                </c:pt>
                <c:pt idx="43">
                  <c:v>6391</c:v>
                </c:pt>
                <c:pt idx="44">
                  <c:v>5782</c:v>
                </c:pt>
                <c:pt idx="45">
                  <c:v>4627</c:v>
                </c:pt>
                <c:pt idx="46">
                  <c:v>3895</c:v>
                </c:pt>
                <c:pt idx="47">
                  <c:v>4802</c:v>
                </c:pt>
                <c:pt idx="48">
                  <c:v>4618</c:v>
                </c:pt>
                <c:pt idx="49">
                  <c:v>5805</c:v>
                </c:pt>
                <c:pt idx="50">
                  <c:v>6583</c:v>
                </c:pt>
                <c:pt idx="51">
                  <c:v>8164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[1]冲关!$F$1</c:f>
              <c:strCache>
                <c:ptCount val="1"/>
                <c:pt idx="0">
                  <c:v>hqyx-adj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[1]冲关!$A$2:$A$53</c:f>
              <c:numCache>
                <c:formatCode>General</c:formatCode>
                <c:ptCount val="52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  <c:pt idx="21">
                  <c:v>2042</c:v>
                </c:pt>
                <c:pt idx="22">
                  <c:v>2044</c:v>
                </c:pt>
                <c:pt idx="23">
                  <c:v>2046</c:v>
                </c:pt>
                <c:pt idx="24">
                  <c:v>2048</c:v>
                </c:pt>
                <c:pt idx="25">
                  <c:v>2050</c:v>
                </c:pt>
                <c:pt idx="26">
                  <c:v>2052</c:v>
                </c:pt>
                <c:pt idx="27">
                  <c:v>2054</c:v>
                </c:pt>
                <c:pt idx="28">
                  <c:v>2056</c:v>
                </c:pt>
                <c:pt idx="29">
                  <c:v>2058</c:v>
                </c:pt>
                <c:pt idx="30">
                  <c:v>2060</c:v>
                </c:pt>
                <c:pt idx="31">
                  <c:v>2062</c:v>
                </c:pt>
                <c:pt idx="32">
                  <c:v>2064</c:v>
                </c:pt>
                <c:pt idx="33">
                  <c:v>2066</c:v>
                </c:pt>
                <c:pt idx="34">
                  <c:v>2068</c:v>
                </c:pt>
                <c:pt idx="35">
                  <c:v>2070</c:v>
                </c:pt>
                <c:pt idx="36">
                  <c:v>2072</c:v>
                </c:pt>
                <c:pt idx="37">
                  <c:v>2074</c:v>
                </c:pt>
                <c:pt idx="38">
                  <c:v>2076</c:v>
                </c:pt>
                <c:pt idx="39">
                  <c:v>2078</c:v>
                </c:pt>
                <c:pt idx="40">
                  <c:v>2080</c:v>
                </c:pt>
                <c:pt idx="41">
                  <c:v>2082</c:v>
                </c:pt>
                <c:pt idx="42">
                  <c:v>2084</c:v>
                </c:pt>
                <c:pt idx="43">
                  <c:v>2086</c:v>
                </c:pt>
                <c:pt idx="44">
                  <c:v>2088</c:v>
                </c:pt>
                <c:pt idx="45">
                  <c:v>2090</c:v>
                </c:pt>
                <c:pt idx="46">
                  <c:v>2092</c:v>
                </c:pt>
                <c:pt idx="47">
                  <c:v>2094</c:v>
                </c:pt>
                <c:pt idx="48">
                  <c:v>2096</c:v>
                </c:pt>
                <c:pt idx="49">
                  <c:v>2098</c:v>
                </c:pt>
                <c:pt idx="50">
                  <c:v>2100</c:v>
                </c:pt>
                <c:pt idx="51">
                  <c:v>2102</c:v>
                </c:pt>
              </c:numCache>
            </c:numRef>
          </c:xVal>
          <c:yVal>
            <c:numRef>
              <c:f>[1]冲关!$F$2:$F$53</c:f>
              <c:numCache>
                <c:formatCode>General</c:formatCode>
                <c:ptCount val="52"/>
                <c:pt idx="0">
                  <c:v>0</c:v>
                </c:pt>
                <c:pt idx="1">
                  <c:v>623.66</c:v>
                </c:pt>
                <c:pt idx="2">
                  <c:v>-327.68</c:v>
                </c:pt>
                <c:pt idx="3">
                  <c:v>720.98</c:v>
                </c:pt>
                <c:pt idx="4">
                  <c:v>694.64</c:v>
                </c:pt>
                <c:pt idx="5">
                  <c:v>618.3</c:v>
                </c:pt>
                <c:pt idx="6">
                  <c:v>1391.96</c:v>
                </c:pt>
                <c:pt idx="7">
                  <c:v>1665.62</c:v>
                </c:pt>
                <c:pt idx="8">
                  <c:v>714.28</c:v>
                </c:pt>
                <c:pt idx="9">
                  <c:v>862.94</c:v>
                </c:pt>
                <c:pt idx="10">
                  <c:v>1211.6</c:v>
                </c:pt>
                <c:pt idx="11">
                  <c:v>335.26</c:v>
                </c:pt>
                <c:pt idx="12">
                  <c:v>633.92</c:v>
                </c:pt>
                <c:pt idx="13">
                  <c:v>1707.58</c:v>
                </c:pt>
                <c:pt idx="14">
                  <c:v>806.24</c:v>
                </c:pt>
                <c:pt idx="15">
                  <c:v>1079.9</c:v>
                </c:pt>
                <c:pt idx="16">
                  <c:v>1403.56</c:v>
                </c:pt>
                <c:pt idx="17">
                  <c:v>1852.22</c:v>
                </c:pt>
                <c:pt idx="18">
                  <c:v>1550.88</c:v>
                </c:pt>
                <c:pt idx="19">
                  <c:v>1574.54</c:v>
                </c:pt>
                <c:pt idx="20">
                  <c:v>923.2</c:v>
                </c:pt>
                <c:pt idx="21">
                  <c:v>2296.86</c:v>
                </c:pt>
                <c:pt idx="22">
                  <c:v>2070.52</c:v>
                </c:pt>
                <c:pt idx="23">
                  <c:v>2019.18</c:v>
                </c:pt>
                <c:pt idx="24">
                  <c:v>2342.84</c:v>
                </c:pt>
                <c:pt idx="25">
                  <c:v>2716.5</c:v>
                </c:pt>
                <c:pt idx="26">
                  <c:v>1865.16</c:v>
                </c:pt>
                <c:pt idx="27">
                  <c:v>3413.82</c:v>
                </c:pt>
                <c:pt idx="28">
                  <c:v>3462.48</c:v>
                </c:pt>
                <c:pt idx="29">
                  <c:v>3011.14</c:v>
                </c:pt>
                <c:pt idx="30">
                  <c:v>1634.8</c:v>
                </c:pt>
                <c:pt idx="31">
                  <c:v>1233.46</c:v>
                </c:pt>
                <c:pt idx="32">
                  <c:v>2357.12</c:v>
                </c:pt>
                <c:pt idx="33">
                  <c:v>2855.78</c:v>
                </c:pt>
                <c:pt idx="34">
                  <c:v>3229.44</c:v>
                </c:pt>
                <c:pt idx="35">
                  <c:v>3028.1</c:v>
                </c:pt>
                <c:pt idx="36">
                  <c:v>2576.76</c:v>
                </c:pt>
                <c:pt idx="37">
                  <c:v>2375.42</c:v>
                </c:pt>
                <c:pt idx="38">
                  <c:v>3324.08</c:v>
                </c:pt>
                <c:pt idx="39">
                  <c:v>2222.74</c:v>
                </c:pt>
                <c:pt idx="40">
                  <c:v>2596.4</c:v>
                </c:pt>
                <c:pt idx="41">
                  <c:v>3320.06</c:v>
                </c:pt>
                <c:pt idx="42">
                  <c:v>2943.72</c:v>
                </c:pt>
                <c:pt idx="43">
                  <c:v>1567.38</c:v>
                </c:pt>
                <c:pt idx="44">
                  <c:v>341.04</c:v>
                </c:pt>
                <c:pt idx="45">
                  <c:v>-810.3</c:v>
                </c:pt>
                <c:pt idx="46">
                  <c:v>-1586.64</c:v>
                </c:pt>
                <c:pt idx="47">
                  <c:v>-637.98</c:v>
                </c:pt>
                <c:pt idx="48">
                  <c:v>-1014.32</c:v>
                </c:pt>
                <c:pt idx="49">
                  <c:v>-240.66</c:v>
                </c:pt>
                <c:pt idx="50">
                  <c:v>1008</c:v>
                </c:pt>
                <c:pt idx="51">
                  <c:v>2406.66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22270"/>
        <c:axId val="826434226"/>
      </c:scatterChart>
      <c:valAx>
        <c:axId val="151022270"/>
        <c:scaling>
          <c:orientation val="minMax"/>
          <c:max val="2102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6434226"/>
        <c:crosses val="autoZero"/>
        <c:crossBetween val="midCat"/>
        <c:majorUnit val="5"/>
      </c:valAx>
      <c:valAx>
        <c:axId val="826434226"/>
        <c:scaling>
          <c:orientation val="minMax"/>
          <c:max val="8500"/>
          <c:min val="-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02227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散点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3"/>
          <c:order val="0"/>
          <c:tx>
            <c:strRef>
              <c:f>[1]冲关!$H$1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[1]冲关!$A$2:$A$53</c:f>
              <c:numCache>
                <c:formatCode>General</c:formatCode>
                <c:ptCount val="52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  <c:pt idx="21">
                  <c:v>2042</c:v>
                </c:pt>
                <c:pt idx="22">
                  <c:v>2044</c:v>
                </c:pt>
                <c:pt idx="23">
                  <c:v>2046</c:v>
                </c:pt>
                <c:pt idx="24">
                  <c:v>2048</c:v>
                </c:pt>
                <c:pt idx="25">
                  <c:v>2050</c:v>
                </c:pt>
                <c:pt idx="26">
                  <c:v>2052</c:v>
                </c:pt>
                <c:pt idx="27">
                  <c:v>2054</c:v>
                </c:pt>
                <c:pt idx="28">
                  <c:v>2056</c:v>
                </c:pt>
                <c:pt idx="29">
                  <c:v>2058</c:v>
                </c:pt>
                <c:pt idx="30">
                  <c:v>2060</c:v>
                </c:pt>
                <c:pt idx="31">
                  <c:v>2062</c:v>
                </c:pt>
                <c:pt idx="32">
                  <c:v>2064</c:v>
                </c:pt>
                <c:pt idx="33">
                  <c:v>2066</c:v>
                </c:pt>
                <c:pt idx="34">
                  <c:v>2068</c:v>
                </c:pt>
                <c:pt idx="35">
                  <c:v>2070</c:v>
                </c:pt>
                <c:pt idx="36">
                  <c:v>2072</c:v>
                </c:pt>
                <c:pt idx="37">
                  <c:v>2074</c:v>
                </c:pt>
                <c:pt idx="38">
                  <c:v>2076</c:v>
                </c:pt>
                <c:pt idx="39">
                  <c:v>2078</c:v>
                </c:pt>
                <c:pt idx="40">
                  <c:v>2080</c:v>
                </c:pt>
                <c:pt idx="41">
                  <c:v>2082</c:v>
                </c:pt>
                <c:pt idx="42">
                  <c:v>2084</c:v>
                </c:pt>
                <c:pt idx="43">
                  <c:v>2086</c:v>
                </c:pt>
                <c:pt idx="44">
                  <c:v>2088</c:v>
                </c:pt>
                <c:pt idx="45">
                  <c:v>2090</c:v>
                </c:pt>
                <c:pt idx="46">
                  <c:v>2092</c:v>
                </c:pt>
                <c:pt idx="47">
                  <c:v>2094</c:v>
                </c:pt>
                <c:pt idx="48">
                  <c:v>2096</c:v>
                </c:pt>
                <c:pt idx="49">
                  <c:v>2098</c:v>
                </c:pt>
                <c:pt idx="50">
                  <c:v>2100</c:v>
                </c:pt>
                <c:pt idx="51">
                  <c:v>2102</c:v>
                </c:pt>
              </c:numCache>
            </c:numRef>
          </c:xVal>
          <c:yVal>
            <c:numRef>
              <c:f>[1]冲关!$H$2:$H$53</c:f>
              <c:numCache>
                <c:formatCode>General</c:formatCode>
                <c:ptCount val="52"/>
                <c:pt idx="0">
                  <c:v>8000</c:v>
                </c:pt>
                <c:pt idx="1">
                  <c:v>8675</c:v>
                </c:pt>
                <c:pt idx="2">
                  <c:v>7775</c:v>
                </c:pt>
                <c:pt idx="3">
                  <c:v>8875</c:v>
                </c:pt>
                <c:pt idx="4">
                  <c:v>8900</c:v>
                </c:pt>
                <c:pt idx="5">
                  <c:v>8875</c:v>
                </c:pt>
                <c:pt idx="6">
                  <c:v>9700</c:v>
                </c:pt>
                <c:pt idx="7">
                  <c:v>10025</c:v>
                </c:pt>
                <c:pt idx="8">
                  <c:v>9125</c:v>
                </c:pt>
                <c:pt idx="9">
                  <c:v>9325</c:v>
                </c:pt>
                <c:pt idx="10">
                  <c:v>9725</c:v>
                </c:pt>
                <c:pt idx="11">
                  <c:v>8900</c:v>
                </c:pt>
                <c:pt idx="12">
                  <c:v>9250</c:v>
                </c:pt>
                <c:pt idx="13">
                  <c:v>10375</c:v>
                </c:pt>
                <c:pt idx="14">
                  <c:v>9525</c:v>
                </c:pt>
                <c:pt idx="15">
                  <c:v>9850</c:v>
                </c:pt>
                <c:pt idx="16">
                  <c:v>10225</c:v>
                </c:pt>
                <c:pt idx="17">
                  <c:v>10725</c:v>
                </c:pt>
                <c:pt idx="18">
                  <c:v>10475</c:v>
                </c:pt>
                <c:pt idx="19">
                  <c:v>10550</c:v>
                </c:pt>
                <c:pt idx="20">
                  <c:v>9950</c:v>
                </c:pt>
                <c:pt idx="21">
                  <c:v>11375</c:v>
                </c:pt>
                <c:pt idx="22">
                  <c:v>11200</c:v>
                </c:pt>
                <c:pt idx="23">
                  <c:v>11200</c:v>
                </c:pt>
                <c:pt idx="24">
                  <c:v>11575</c:v>
                </c:pt>
                <c:pt idx="25">
                  <c:v>12000</c:v>
                </c:pt>
                <c:pt idx="26">
                  <c:v>11200</c:v>
                </c:pt>
              </c:numCache>
            </c:numRef>
          </c:yVal>
          <c:smooth val="0"/>
        </c:ser>
        <c:ser>
          <c:idx val="4"/>
          <c:order val="1"/>
          <c:tx>
            <c:strRef>
              <c:f>[1]冲关!$I$1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[1]冲关!$A$2:$A$53</c:f>
              <c:numCache>
                <c:formatCode>General</c:formatCode>
                <c:ptCount val="52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  <c:pt idx="21">
                  <c:v>2042</c:v>
                </c:pt>
                <c:pt idx="22">
                  <c:v>2044</c:v>
                </c:pt>
                <c:pt idx="23">
                  <c:v>2046</c:v>
                </c:pt>
                <c:pt idx="24">
                  <c:v>2048</c:v>
                </c:pt>
                <c:pt idx="25">
                  <c:v>2050</c:v>
                </c:pt>
                <c:pt idx="26">
                  <c:v>2052</c:v>
                </c:pt>
                <c:pt idx="27">
                  <c:v>2054</c:v>
                </c:pt>
                <c:pt idx="28">
                  <c:v>2056</c:v>
                </c:pt>
                <c:pt idx="29">
                  <c:v>2058</c:v>
                </c:pt>
                <c:pt idx="30">
                  <c:v>2060</c:v>
                </c:pt>
                <c:pt idx="31">
                  <c:v>2062</c:v>
                </c:pt>
                <c:pt idx="32">
                  <c:v>2064</c:v>
                </c:pt>
                <c:pt idx="33">
                  <c:v>2066</c:v>
                </c:pt>
                <c:pt idx="34">
                  <c:v>2068</c:v>
                </c:pt>
                <c:pt idx="35">
                  <c:v>2070</c:v>
                </c:pt>
                <c:pt idx="36">
                  <c:v>2072</c:v>
                </c:pt>
                <c:pt idx="37">
                  <c:v>2074</c:v>
                </c:pt>
                <c:pt idx="38">
                  <c:v>2076</c:v>
                </c:pt>
                <c:pt idx="39">
                  <c:v>2078</c:v>
                </c:pt>
                <c:pt idx="40">
                  <c:v>2080</c:v>
                </c:pt>
                <c:pt idx="41">
                  <c:v>2082</c:v>
                </c:pt>
                <c:pt idx="42">
                  <c:v>2084</c:v>
                </c:pt>
                <c:pt idx="43">
                  <c:v>2086</c:v>
                </c:pt>
                <c:pt idx="44">
                  <c:v>2088</c:v>
                </c:pt>
                <c:pt idx="45">
                  <c:v>2090</c:v>
                </c:pt>
                <c:pt idx="46">
                  <c:v>2092</c:v>
                </c:pt>
                <c:pt idx="47">
                  <c:v>2094</c:v>
                </c:pt>
                <c:pt idx="48">
                  <c:v>2096</c:v>
                </c:pt>
                <c:pt idx="49">
                  <c:v>2098</c:v>
                </c:pt>
                <c:pt idx="50">
                  <c:v>2100</c:v>
                </c:pt>
                <c:pt idx="51">
                  <c:v>2102</c:v>
                </c:pt>
              </c:numCache>
            </c:numRef>
          </c:xVal>
          <c:yVal>
            <c:numRef>
              <c:f>[1]冲关!$I$2:$I$53</c:f>
              <c:numCache>
                <c:formatCode>General</c:formatCode>
                <c:ptCount val="52"/>
                <c:pt idx="26">
                  <c:v>1200</c:v>
                </c:pt>
                <c:pt idx="27">
                  <c:v>2800</c:v>
                </c:pt>
                <c:pt idx="28">
                  <c:v>2900</c:v>
                </c:pt>
                <c:pt idx="29">
                  <c:v>2500</c:v>
                </c:pt>
                <c:pt idx="30">
                  <c:v>1175</c:v>
                </c:pt>
                <c:pt idx="31">
                  <c:v>825</c:v>
                </c:pt>
                <c:pt idx="32">
                  <c:v>2000</c:v>
                </c:pt>
                <c:pt idx="33">
                  <c:v>2550</c:v>
                </c:pt>
                <c:pt idx="34">
                  <c:v>2975</c:v>
                </c:pt>
                <c:pt idx="35">
                  <c:v>2825</c:v>
                </c:pt>
                <c:pt idx="36">
                  <c:v>2425</c:v>
                </c:pt>
                <c:pt idx="37">
                  <c:v>2275</c:v>
                </c:pt>
                <c:pt idx="38">
                  <c:v>3275</c:v>
                </c:pt>
                <c:pt idx="39">
                  <c:v>2225</c:v>
                </c:pt>
                <c:pt idx="40">
                  <c:v>2650</c:v>
                </c:pt>
                <c:pt idx="41">
                  <c:v>3425</c:v>
                </c:pt>
                <c:pt idx="42">
                  <c:v>3100</c:v>
                </c:pt>
                <c:pt idx="43">
                  <c:v>1775</c:v>
                </c:pt>
                <c:pt idx="44">
                  <c:v>600</c:v>
                </c:pt>
              </c:numCache>
            </c:numRef>
          </c:yVal>
          <c:smooth val="0"/>
        </c:ser>
        <c:ser>
          <c:idx val="5"/>
          <c:order val="2"/>
          <c:tx>
            <c:strRef>
              <c:f>[1]冲关!$J$1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[1]冲关!$A$2:$A$53</c:f>
              <c:numCache>
                <c:formatCode>General</c:formatCode>
                <c:ptCount val="52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  <c:pt idx="21">
                  <c:v>2042</c:v>
                </c:pt>
                <c:pt idx="22">
                  <c:v>2044</c:v>
                </c:pt>
                <c:pt idx="23">
                  <c:v>2046</c:v>
                </c:pt>
                <c:pt idx="24">
                  <c:v>2048</c:v>
                </c:pt>
                <c:pt idx="25">
                  <c:v>2050</c:v>
                </c:pt>
                <c:pt idx="26">
                  <c:v>2052</c:v>
                </c:pt>
                <c:pt idx="27">
                  <c:v>2054</c:v>
                </c:pt>
                <c:pt idx="28">
                  <c:v>2056</c:v>
                </c:pt>
                <c:pt idx="29">
                  <c:v>2058</c:v>
                </c:pt>
                <c:pt idx="30">
                  <c:v>2060</c:v>
                </c:pt>
                <c:pt idx="31">
                  <c:v>2062</c:v>
                </c:pt>
                <c:pt idx="32">
                  <c:v>2064</c:v>
                </c:pt>
                <c:pt idx="33">
                  <c:v>2066</c:v>
                </c:pt>
                <c:pt idx="34">
                  <c:v>2068</c:v>
                </c:pt>
                <c:pt idx="35">
                  <c:v>2070</c:v>
                </c:pt>
                <c:pt idx="36">
                  <c:v>2072</c:v>
                </c:pt>
                <c:pt idx="37">
                  <c:v>2074</c:v>
                </c:pt>
                <c:pt idx="38">
                  <c:v>2076</c:v>
                </c:pt>
                <c:pt idx="39">
                  <c:v>2078</c:v>
                </c:pt>
                <c:pt idx="40">
                  <c:v>2080</c:v>
                </c:pt>
                <c:pt idx="41">
                  <c:v>2082</c:v>
                </c:pt>
                <c:pt idx="42">
                  <c:v>2084</c:v>
                </c:pt>
                <c:pt idx="43">
                  <c:v>2086</c:v>
                </c:pt>
                <c:pt idx="44">
                  <c:v>2088</c:v>
                </c:pt>
                <c:pt idx="45">
                  <c:v>2090</c:v>
                </c:pt>
                <c:pt idx="46">
                  <c:v>2092</c:v>
                </c:pt>
                <c:pt idx="47">
                  <c:v>2094</c:v>
                </c:pt>
                <c:pt idx="48">
                  <c:v>2096</c:v>
                </c:pt>
                <c:pt idx="49">
                  <c:v>2098</c:v>
                </c:pt>
                <c:pt idx="50">
                  <c:v>2100</c:v>
                </c:pt>
                <c:pt idx="51">
                  <c:v>2102</c:v>
                </c:pt>
              </c:numCache>
            </c:numRef>
          </c:xVal>
          <c:yVal>
            <c:numRef>
              <c:f>[1]冲关!$J$2:$J$53</c:f>
              <c:numCache>
                <c:formatCode>General</c:formatCode>
                <c:ptCount val="52"/>
                <c:pt idx="44">
                  <c:v>2600</c:v>
                </c:pt>
                <c:pt idx="45">
                  <c:v>1500</c:v>
                </c:pt>
                <c:pt idx="46">
                  <c:v>775</c:v>
                </c:pt>
                <c:pt idx="47">
                  <c:v>1775</c:v>
                </c:pt>
                <c:pt idx="48">
                  <c:v>1450</c:v>
                </c:pt>
                <c:pt idx="49">
                  <c:v>2275</c:v>
                </c:pt>
                <c:pt idx="50">
                  <c:v>3575</c:v>
                </c:pt>
                <c:pt idx="51">
                  <c:v>5025</c:v>
                </c:pt>
              </c:numCache>
            </c:numRef>
          </c:yVal>
          <c:smooth val="0"/>
        </c:ser>
        <c:ser>
          <c:idx val="0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[1]冲关!$K$3:$K$53</c:f>
              <c:numCache>
                <c:formatCode>General</c:formatCode>
                <c:ptCount val="51"/>
                <c:pt idx="0">
                  <c:v>469</c:v>
                </c:pt>
                <c:pt idx="1">
                  <c:v>-1389</c:v>
                </c:pt>
                <c:pt idx="2">
                  <c:v>912</c:v>
                </c:pt>
                <c:pt idx="3">
                  <c:v>453</c:v>
                </c:pt>
                <c:pt idx="4">
                  <c:v>116</c:v>
                </c:pt>
                <c:pt idx="5">
                  <c:v>768</c:v>
                </c:pt>
                <c:pt idx="6">
                  <c:v>699</c:v>
                </c:pt>
                <c:pt idx="7">
                  <c:v>-661</c:v>
                </c:pt>
                <c:pt idx="8">
                  <c:v>-322</c:v>
                </c:pt>
                <c:pt idx="9">
                  <c:v>329</c:v>
                </c:pt>
                <c:pt idx="10">
                  <c:v>-734</c:v>
                </c:pt>
                <c:pt idx="11">
                  <c:v>380</c:v>
                </c:pt>
                <c:pt idx="12">
                  <c:v>924</c:v>
                </c:pt>
                <c:pt idx="13">
                  <c:v>-880</c:v>
                </c:pt>
                <c:pt idx="14">
                  <c:v>-384</c:v>
                </c:pt>
                <c:pt idx="15">
                  <c:v>968</c:v>
                </c:pt>
                <c:pt idx="16">
                  <c:v>824</c:v>
                </c:pt>
                <c:pt idx="17">
                  <c:v>-924</c:v>
                </c:pt>
                <c:pt idx="18">
                  <c:v>-92</c:v>
                </c:pt>
                <c:pt idx="19">
                  <c:v>55</c:v>
                </c:pt>
                <c:pt idx="20">
                  <c:v>1058</c:v>
                </c:pt>
                <c:pt idx="21">
                  <c:v>-217</c:v>
                </c:pt>
                <c:pt idx="22">
                  <c:v>-48</c:v>
                </c:pt>
                <c:pt idx="23">
                  <c:v>290</c:v>
                </c:pt>
                <c:pt idx="24">
                  <c:v>362</c:v>
                </c:pt>
                <c:pt idx="25">
                  <c:v>-902</c:v>
                </c:pt>
                <c:pt idx="26">
                  <c:v>1206</c:v>
                </c:pt>
                <c:pt idx="27">
                  <c:v>-200</c:v>
                </c:pt>
                <c:pt idx="28">
                  <c:v>524</c:v>
                </c:pt>
                <c:pt idx="29">
                  <c:v>-1024</c:v>
                </c:pt>
                <c:pt idx="30">
                  <c:v>-1009</c:v>
                </c:pt>
                <c:pt idx="31">
                  <c:v>1773</c:v>
                </c:pt>
                <c:pt idx="32">
                  <c:v>1187</c:v>
                </c:pt>
                <c:pt idx="33">
                  <c:v>413</c:v>
                </c:pt>
                <c:pt idx="34">
                  <c:v>123</c:v>
                </c:pt>
                <c:pt idx="35">
                  <c:v>-328</c:v>
                </c:pt>
                <c:pt idx="36">
                  <c:v>55</c:v>
                </c:pt>
                <c:pt idx="37">
                  <c:v>1408</c:v>
                </c:pt>
                <c:pt idx="38">
                  <c:v>-940</c:v>
                </c:pt>
                <c:pt idx="39">
                  <c:v>982</c:v>
                </c:pt>
                <c:pt idx="40">
                  <c:v>330</c:v>
                </c:pt>
                <c:pt idx="41">
                  <c:v>181</c:v>
                </c:pt>
                <c:pt idx="42">
                  <c:v>-344</c:v>
                </c:pt>
                <c:pt idx="43">
                  <c:v>-609</c:v>
                </c:pt>
                <c:pt idx="44">
                  <c:v>-1155</c:v>
                </c:pt>
                <c:pt idx="45">
                  <c:v>-732</c:v>
                </c:pt>
                <c:pt idx="46">
                  <c:v>907</c:v>
                </c:pt>
                <c:pt idx="47">
                  <c:v>-184</c:v>
                </c:pt>
                <c:pt idx="48">
                  <c:v>1187</c:v>
                </c:pt>
                <c:pt idx="49">
                  <c:v>778</c:v>
                </c:pt>
                <c:pt idx="50">
                  <c:v>1581</c:v>
                </c:pt>
              </c:numCache>
            </c:numRef>
          </c:xVal>
          <c:yVal>
            <c:numRef>
              <c:f>[1]冲关!$L$3:$L$53</c:f>
              <c:numCache>
                <c:formatCode>General</c:formatCode>
                <c:ptCount val="51"/>
                <c:pt idx="0">
                  <c:v>623.66</c:v>
                </c:pt>
                <c:pt idx="1">
                  <c:v>-951.34</c:v>
                </c:pt>
                <c:pt idx="2">
                  <c:v>1048.66</c:v>
                </c:pt>
                <c:pt idx="3">
                  <c:v>-26.34</c:v>
                </c:pt>
                <c:pt idx="4">
                  <c:v>-76.34</c:v>
                </c:pt>
                <c:pt idx="5">
                  <c:v>773.66</c:v>
                </c:pt>
                <c:pt idx="6">
                  <c:v>273.66</c:v>
                </c:pt>
                <c:pt idx="7">
                  <c:v>-951.34</c:v>
                </c:pt>
                <c:pt idx="8">
                  <c:v>148.66</c:v>
                </c:pt>
                <c:pt idx="9">
                  <c:v>348.66</c:v>
                </c:pt>
                <c:pt idx="10">
                  <c:v>-876.34</c:v>
                </c:pt>
                <c:pt idx="11">
                  <c:v>298.66</c:v>
                </c:pt>
                <c:pt idx="12">
                  <c:v>1073.66</c:v>
                </c:pt>
                <c:pt idx="13">
                  <c:v>-901.34</c:v>
                </c:pt>
                <c:pt idx="14">
                  <c:v>273.66</c:v>
                </c:pt>
                <c:pt idx="15">
                  <c:v>323.66</c:v>
                </c:pt>
                <c:pt idx="16">
                  <c:v>448.66</c:v>
                </c:pt>
                <c:pt idx="17">
                  <c:v>-301.34</c:v>
                </c:pt>
                <c:pt idx="18">
                  <c:v>23.6600000000001</c:v>
                </c:pt>
                <c:pt idx="19">
                  <c:v>-651.34</c:v>
                </c:pt>
                <c:pt idx="20">
                  <c:v>1373.66</c:v>
                </c:pt>
                <c:pt idx="21">
                  <c:v>-226.34</c:v>
                </c:pt>
                <c:pt idx="22">
                  <c:v>-51.3400000000001</c:v>
                </c:pt>
                <c:pt idx="23">
                  <c:v>323.66</c:v>
                </c:pt>
                <c:pt idx="24">
                  <c:v>373.66</c:v>
                </c:pt>
                <c:pt idx="25">
                  <c:v>-851.34</c:v>
                </c:pt>
                <c:pt idx="26">
                  <c:v>1548.66</c:v>
                </c:pt>
                <c:pt idx="27">
                  <c:v>48.6600000000003</c:v>
                </c:pt>
                <c:pt idx="28">
                  <c:v>-451.34</c:v>
                </c:pt>
                <c:pt idx="29">
                  <c:v>-1376.34</c:v>
                </c:pt>
                <c:pt idx="30">
                  <c:v>-401.34</c:v>
                </c:pt>
                <c:pt idx="31">
                  <c:v>1123.66</c:v>
                </c:pt>
                <c:pt idx="32">
                  <c:v>498.66</c:v>
                </c:pt>
                <c:pt idx="33">
                  <c:v>373.66</c:v>
                </c:pt>
                <c:pt idx="34">
                  <c:v>-201.34</c:v>
                </c:pt>
                <c:pt idx="35">
                  <c:v>-451.34</c:v>
                </c:pt>
                <c:pt idx="36">
                  <c:v>-201.34</c:v>
                </c:pt>
                <c:pt idx="37">
                  <c:v>948.66</c:v>
                </c:pt>
                <c:pt idx="38">
                  <c:v>-1101.34</c:v>
                </c:pt>
                <c:pt idx="39">
                  <c:v>373.66</c:v>
                </c:pt>
                <c:pt idx="40">
                  <c:v>723.66</c:v>
                </c:pt>
                <c:pt idx="41">
                  <c:v>-376.34</c:v>
                </c:pt>
                <c:pt idx="42">
                  <c:v>-1376.34</c:v>
                </c:pt>
                <c:pt idx="43">
                  <c:v>-1226.34</c:v>
                </c:pt>
                <c:pt idx="44">
                  <c:v>-1151.34</c:v>
                </c:pt>
                <c:pt idx="45">
                  <c:v>-776.34</c:v>
                </c:pt>
                <c:pt idx="46">
                  <c:v>948.66</c:v>
                </c:pt>
                <c:pt idx="47">
                  <c:v>-376.34</c:v>
                </c:pt>
                <c:pt idx="48">
                  <c:v>773.66</c:v>
                </c:pt>
                <c:pt idx="49">
                  <c:v>1248.66</c:v>
                </c:pt>
                <c:pt idx="50">
                  <c:v>1398.66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152213"/>
        <c:axId val="36812407"/>
      </c:scatterChart>
      <c:valAx>
        <c:axId val="67415221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12407"/>
        <c:crosses val="autoZero"/>
        <c:crossBetween val="midCat"/>
      </c:valAx>
      <c:valAx>
        <c:axId val="36812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415221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残差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[1]冲关!$A$3:$A$53</c:f>
              <c:numCache>
                <c:formatCode>General</c:formatCode>
                <c:ptCount val="51"/>
                <c:pt idx="0">
                  <c:v>2002</c:v>
                </c:pt>
                <c:pt idx="1">
                  <c:v>2004</c:v>
                </c:pt>
                <c:pt idx="2">
                  <c:v>2006</c:v>
                </c:pt>
                <c:pt idx="3">
                  <c:v>2008</c:v>
                </c:pt>
                <c:pt idx="4">
                  <c:v>2010</c:v>
                </c:pt>
                <c:pt idx="5">
                  <c:v>2012</c:v>
                </c:pt>
                <c:pt idx="6">
                  <c:v>2014</c:v>
                </c:pt>
                <c:pt idx="7">
                  <c:v>2016</c:v>
                </c:pt>
                <c:pt idx="8">
                  <c:v>2018</c:v>
                </c:pt>
                <c:pt idx="9">
                  <c:v>2020</c:v>
                </c:pt>
                <c:pt idx="10">
                  <c:v>2022</c:v>
                </c:pt>
                <c:pt idx="11">
                  <c:v>2024</c:v>
                </c:pt>
                <c:pt idx="12">
                  <c:v>2026</c:v>
                </c:pt>
                <c:pt idx="13">
                  <c:v>2028</c:v>
                </c:pt>
                <c:pt idx="14">
                  <c:v>2030</c:v>
                </c:pt>
                <c:pt idx="15">
                  <c:v>2032</c:v>
                </c:pt>
                <c:pt idx="16">
                  <c:v>2034</c:v>
                </c:pt>
                <c:pt idx="17">
                  <c:v>2036</c:v>
                </c:pt>
                <c:pt idx="18">
                  <c:v>2038</c:v>
                </c:pt>
                <c:pt idx="19">
                  <c:v>2040</c:v>
                </c:pt>
                <c:pt idx="20">
                  <c:v>2042</c:v>
                </c:pt>
                <c:pt idx="21">
                  <c:v>2044</c:v>
                </c:pt>
                <c:pt idx="22">
                  <c:v>2046</c:v>
                </c:pt>
                <c:pt idx="23">
                  <c:v>2048</c:v>
                </c:pt>
                <c:pt idx="24">
                  <c:v>2050</c:v>
                </c:pt>
                <c:pt idx="25">
                  <c:v>2052</c:v>
                </c:pt>
                <c:pt idx="26">
                  <c:v>2054</c:v>
                </c:pt>
                <c:pt idx="27">
                  <c:v>2056</c:v>
                </c:pt>
                <c:pt idx="28">
                  <c:v>2058</c:v>
                </c:pt>
                <c:pt idx="29">
                  <c:v>2060</c:v>
                </c:pt>
                <c:pt idx="30">
                  <c:v>2062</c:v>
                </c:pt>
                <c:pt idx="31">
                  <c:v>2064</c:v>
                </c:pt>
                <c:pt idx="32">
                  <c:v>2066</c:v>
                </c:pt>
                <c:pt idx="33">
                  <c:v>2068</c:v>
                </c:pt>
                <c:pt idx="34">
                  <c:v>2070</c:v>
                </c:pt>
                <c:pt idx="35">
                  <c:v>2072</c:v>
                </c:pt>
                <c:pt idx="36">
                  <c:v>2074</c:v>
                </c:pt>
                <c:pt idx="37">
                  <c:v>2076</c:v>
                </c:pt>
                <c:pt idx="38">
                  <c:v>2078</c:v>
                </c:pt>
                <c:pt idx="39">
                  <c:v>2080</c:v>
                </c:pt>
                <c:pt idx="40">
                  <c:v>2082</c:v>
                </c:pt>
                <c:pt idx="41">
                  <c:v>2084</c:v>
                </c:pt>
                <c:pt idx="42">
                  <c:v>2086</c:v>
                </c:pt>
                <c:pt idx="43">
                  <c:v>2088</c:v>
                </c:pt>
                <c:pt idx="44">
                  <c:v>2090</c:v>
                </c:pt>
                <c:pt idx="45">
                  <c:v>2092</c:v>
                </c:pt>
                <c:pt idx="46">
                  <c:v>2094</c:v>
                </c:pt>
                <c:pt idx="47">
                  <c:v>2096</c:v>
                </c:pt>
                <c:pt idx="48">
                  <c:v>2098</c:v>
                </c:pt>
                <c:pt idx="49">
                  <c:v>2100</c:v>
                </c:pt>
                <c:pt idx="50">
                  <c:v>2102</c:v>
                </c:pt>
              </c:numCache>
            </c:numRef>
          </c:xVal>
          <c:yVal>
            <c:numRef>
              <c:f>[1]冲关!$M$3:$M$53</c:f>
              <c:numCache>
                <c:formatCode>General</c:formatCode>
                <c:ptCount val="51"/>
                <c:pt idx="0">
                  <c:v>-154.66</c:v>
                </c:pt>
                <c:pt idx="1">
                  <c:v>-437.66</c:v>
                </c:pt>
                <c:pt idx="2">
                  <c:v>-136.66</c:v>
                </c:pt>
                <c:pt idx="3">
                  <c:v>479.34</c:v>
                </c:pt>
                <c:pt idx="4">
                  <c:v>192.34</c:v>
                </c:pt>
                <c:pt idx="5">
                  <c:v>-5.66000000000008</c:v>
                </c:pt>
                <c:pt idx="6">
                  <c:v>425.34</c:v>
                </c:pt>
                <c:pt idx="7">
                  <c:v>290.34</c:v>
                </c:pt>
                <c:pt idx="8">
                  <c:v>-470.66</c:v>
                </c:pt>
                <c:pt idx="9">
                  <c:v>-19.66</c:v>
                </c:pt>
                <c:pt idx="10">
                  <c:v>142.34</c:v>
                </c:pt>
                <c:pt idx="11">
                  <c:v>81.34</c:v>
                </c:pt>
                <c:pt idx="12">
                  <c:v>-149.66</c:v>
                </c:pt>
                <c:pt idx="13">
                  <c:v>21.3399999999999</c:v>
                </c:pt>
                <c:pt idx="14">
                  <c:v>-657.66</c:v>
                </c:pt>
                <c:pt idx="15">
                  <c:v>644.34</c:v>
                </c:pt>
                <c:pt idx="16">
                  <c:v>375.34</c:v>
                </c:pt>
                <c:pt idx="17">
                  <c:v>-622.66</c:v>
                </c:pt>
                <c:pt idx="18">
                  <c:v>-115.66</c:v>
                </c:pt>
                <c:pt idx="19">
                  <c:v>706.34</c:v>
                </c:pt>
                <c:pt idx="20">
                  <c:v>-315.66</c:v>
                </c:pt>
                <c:pt idx="21">
                  <c:v>9.33999999999969</c:v>
                </c:pt>
                <c:pt idx="22">
                  <c:v>3.34000000000015</c:v>
                </c:pt>
                <c:pt idx="23">
                  <c:v>-33.6600000000003</c:v>
                </c:pt>
                <c:pt idx="24">
                  <c:v>-11.6599999999999</c:v>
                </c:pt>
                <c:pt idx="25">
                  <c:v>-50.6599999999999</c:v>
                </c:pt>
                <c:pt idx="26">
                  <c:v>-342.66</c:v>
                </c:pt>
                <c:pt idx="27">
                  <c:v>-248.66</c:v>
                </c:pt>
                <c:pt idx="28">
                  <c:v>975.34</c:v>
                </c:pt>
                <c:pt idx="29">
                  <c:v>352.34</c:v>
                </c:pt>
                <c:pt idx="30">
                  <c:v>-607.66</c:v>
                </c:pt>
                <c:pt idx="31">
                  <c:v>649.34</c:v>
                </c:pt>
                <c:pt idx="32">
                  <c:v>688.34</c:v>
                </c:pt>
                <c:pt idx="33">
                  <c:v>39.3400000000001</c:v>
                </c:pt>
                <c:pt idx="34">
                  <c:v>324.34</c:v>
                </c:pt>
                <c:pt idx="35">
                  <c:v>123.34</c:v>
                </c:pt>
                <c:pt idx="36">
                  <c:v>256.34</c:v>
                </c:pt>
                <c:pt idx="37">
                  <c:v>459.34</c:v>
                </c:pt>
                <c:pt idx="38">
                  <c:v>161.34</c:v>
                </c:pt>
                <c:pt idx="39">
                  <c:v>608.34</c:v>
                </c:pt>
                <c:pt idx="40">
                  <c:v>-393.66</c:v>
                </c:pt>
                <c:pt idx="41">
                  <c:v>557.34</c:v>
                </c:pt>
                <c:pt idx="42">
                  <c:v>1032.34</c:v>
                </c:pt>
                <c:pt idx="43">
                  <c:v>617.34</c:v>
                </c:pt>
                <c:pt idx="44">
                  <c:v>-3.65999999999985</c:v>
                </c:pt>
                <c:pt idx="45">
                  <c:v>44.3400000000001</c:v>
                </c:pt>
                <c:pt idx="46">
                  <c:v>-41.6600000000003</c:v>
                </c:pt>
                <c:pt idx="47">
                  <c:v>192.34</c:v>
                </c:pt>
                <c:pt idx="48">
                  <c:v>413.34</c:v>
                </c:pt>
                <c:pt idx="49">
                  <c:v>-470.66</c:v>
                </c:pt>
                <c:pt idx="50">
                  <c:v>182.34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53558"/>
        <c:axId val="799463557"/>
      </c:scatterChart>
      <c:valAx>
        <c:axId val="44553558"/>
        <c:scaling>
          <c:orientation val="minMax"/>
          <c:max val="2102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9463557"/>
        <c:crosses val="autoZero"/>
        <c:crossBetween val="midCat"/>
        <c:majorUnit val="5"/>
      </c:valAx>
      <c:valAx>
        <c:axId val="799463557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53558"/>
        <c:crosses val="autoZero"/>
        <c:crossBetween val="midCat"/>
        <c:majorUnit val="4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762000</xdr:colOff>
      <xdr:row>7</xdr:row>
      <xdr:rowOff>165735</xdr:rowOff>
    </xdr:from>
    <xdr:to>
      <xdr:col>17</xdr:col>
      <xdr:colOff>309880</xdr:colOff>
      <xdr:row>33</xdr:row>
      <xdr:rowOff>165735</xdr:rowOff>
    </xdr:to>
    <xdr:graphicFrame>
      <xdr:nvGraphicFramePr>
        <xdr:cNvPr id="4" name="图表 3"/>
        <xdr:cNvGraphicFramePr/>
      </xdr:nvGraphicFramePr>
      <xdr:xfrm>
        <a:off x="4636135" y="1365885"/>
        <a:ext cx="8053705" cy="4457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294640</xdr:colOff>
      <xdr:row>2</xdr:row>
      <xdr:rowOff>22225</xdr:rowOff>
    </xdr:from>
    <xdr:to>
      <xdr:col>23</xdr:col>
      <xdr:colOff>167005</xdr:colOff>
      <xdr:row>27</xdr:row>
      <xdr:rowOff>56515</xdr:rowOff>
    </xdr:to>
    <xdr:graphicFrame>
      <xdr:nvGraphicFramePr>
        <xdr:cNvPr id="2" name="图表 1"/>
        <xdr:cNvGraphicFramePr/>
      </xdr:nvGraphicFramePr>
      <xdr:xfrm>
        <a:off x="8629015" y="365125"/>
        <a:ext cx="7416165" cy="4320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17780</xdr:colOff>
      <xdr:row>45</xdr:row>
      <xdr:rowOff>5715</xdr:rowOff>
    </xdr:from>
    <xdr:to>
      <xdr:col>21</xdr:col>
      <xdr:colOff>538480</xdr:colOff>
      <xdr:row>72</xdr:row>
      <xdr:rowOff>22225</xdr:rowOff>
    </xdr:to>
    <xdr:graphicFrame>
      <xdr:nvGraphicFramePr>
        <xdr:cNvPr id="3" name="图表 2"/>
        <xdr:cNvGraphicFramePr/>
      </xdr:nvGraphicFramePr>
      <xdr:xfrm>
        <a:off x="9723755" y="7720965"/>
        <a:ext cx="5321300" cy="4645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57150</xdr:colOff>
      <xdr:row>29</xdr:row>
      <xdr:rowOff>169545</xdr:rowOff>
    </xdr:from>
    <xdr:to>
      <xdr:col>24</xdr:col>
      <xdr:colOff>599440</xdr:colOff>
      <xdr:row>42</xdr:row>
      <xdr:rowOff>139700</xdr:rowOff>
    </xdr:to>
    <xdr:graphicFrame>
      <xdr:nvGraphicFramePr>
        <xdr:cNvPr id="4" name="图表 3"/>
        <xdr:cNvGraphicFramePr/>
      </xdr:nvGraphicFramePr>
      <xdr:xfrm>
        <a:off x="9763125" y="5141595"/>
        <a:ext cx="7400290" cy="2199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&#38451;&#20809;&#23545;&#2760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冲关"/>
      <sheetName val="曾损"/>
    </sheetNames>
    <sheetDataSet>
      <sheetData sheetId="0">
        <row r="1">
          <cell r="E1" t="str">
            <v>pred</v>
          </cell>
          <cell r="F1" t="str">
            <v>hqyx-adj</v>
          </cell>
        </row>
        <row r="2">
          <cell r="A2">
            <v>2000</v>
          </cell>
        </row>
        <row r="2">
          <cell r="E2">
            <v>0</v>
          </cell>
          <cell r="F2">
            <v>0</v>
          </cell>
        </row>
        <row r="2">
          <cell r="H2">
            <v>8000</v>
          </cell>
        </row>
        <row r="3">
          <cell r="A3">
            <v>2002</v>
          </cell>
        </row>
        <row r="3">
          <cell r="E3">
            <v>469</v>
          </cell>
          <cell r="F3">
            <v>623.66</v>
          </cell>
        </row>
        <row r="3">
          <cell r="H3">
            <v>8675</v>
          </cell>
        </row>
        <row r="3">
          <cell r="K3">
            <v>469</v>
          </cell>
          <cell r="L3">
            <v>623.66</v>
          </cell>
          <cell r="M3">
            <v>-154.66</v>
          </cell>
        </row>
        <row r="4">
          <cell r="A4">
            <v>2004</v>
          </cell>
        </row>
        <row r="4">
          <cell r="E4">
            <v>-920</v>
          </cell>
          <cell r="F4">
            <v>-327.68</v>
          </cell>
        </row>
        <row r="4">
          <cell r="H4">
            <v>7775</v>
          </cell>
        </row>
        <row r="4">
          <cell r="K4">
            <v>-1389</v>
          </cell>
          <cell r="L4">
            <v>-951.34</v>
          </cell>
          <cell r="M4">
            <v>-437.66</v>
          </cell>
        </row>
        <row r="5">
          <cell r="A5">
            <v>2006</v>
          </cell>
        </row>
        <row r="5">
          <cell r="E5">
            <v>-8</v>
          </cell>
          <cell r="F5">
            <v>720.98</v>
          </cell>
        </row>
        <row r="5">
          <cell r="H5">
            <v>8875</v>
          </cell>
        </row>
        <row r="5">
          <cell r="K5">
            <v>912</v>
          </cell>
          <cell r="L5">
            <v>1048.66</v>
          </cell>
          <cell r="M5">
            <v>-136.66</v>
          </cell>
        </row>
        <row r="6">
          <cell r="A6">
            <v>2008</v>
          </cell>
        </row>
        <row r="6">
          <cell r="E6">
            <v>445</v>
          </cell>
          <cell r="F6">
            <v>694.64</v>
          </cell>
        </row>
        <row r="6">
          <cell r="H6">
            <v>8900</v>
          </cell>
        </row>
        <row r="6">
          <cell r="K6">
            <v>453</v>
          </cell>
          <cell r="L6">
            <v>-26.34</v>
          </cell>
          <cell r="M6">
            <v>479.34</v>
          </cell>
        </row>
        <row r="7">
          <cell r="A7">
            <v>2010</v>
          </cell>
        </row>
        <row r="7">
          <cell r="E7">
            <v>561</v>
          </cell>
          <cell r="F7">
            <v>618.3</v>
          </cell>
        </row>
        <row r="7">
          <cell r="H7">
            <v>8875</v>
          </cell>
        </row>
        <row r="7">
          <cell r="K7">
            <v>116</v>
          </cell>
          <cell r="L7">
            <v>-76.34</v>
          </cell>
          <cell r="M7">
            <v>192.34</v>
          </cell>
        </row>
        <row r="8">
          <cell r="A8">
            <v>2012</v>
          </cell>
        </row>
        <row r="8">
          <cell r="E8">
            <v>1329</v>
          </cell>
          <cell r="F8">
            <v>1391.96</v>
          </cell>
        </row>
        <row r="8">
          <cell r="H8">
            <v>9700</v>
          </cell>
        </row>
        <row r="8">
          <cell r="K8">
            <v>768</v>
          </cell>
          <cell r="L8">
            <v>773.66</v>
          </cell>
          <cell r="M8">
            <v>-5.66000000000008</v>
          </cell>
        </row>
        <row r="9">
          <cell r="A9">
            <v>2014</v>
          </cell>
        </row>
        <row r="9">
          <cell r="E9">
            <v>2028</v>
          </cell>
          <cell r="F9">
            <v>1665.62</v>
          </cell>
        </row>
        <row r="9">
          <cell r="H9">
            <v>10025</v>
          </cell>
        </row>
        <row r="9">
          <cell r="K9">
            <v>699</v>
          </cell>
          <cell r="L9">
            <v>273.66</v>
          </cell>
          <cell r="M9">
            <v>425.34</v>
          </cell>
        </row>
        <row r="10">
          <cell r="A10">
            <v>2016</v>
          </cell>
        </row>
        <row r="10">
          <cell r="E10">
            <v>1367</v>
          </cell>
          <cell r="F10">
            <v>714.28</v>
          </cell>
        </row>
        <row r="10">
          <cell r="H10">
            <v>9125</v>
          </cell>
        </row>
        <row r="10">
          <cell r="K10">
            <v>-661</v>
          </cell>
          <cell r="L10">
            <v>-951.34</v>
          </cell>
          <cell r="M10">
            <v>290.34</v>
          </cell>
        </row>
        <row r="11">
          <cell r="A11">
            <v>2018</v>
          </cell>
        </row>
        <row r="11">
          <cell r="E11">
            <v>1045</v>
          </cell>
          <cell r="F11">
            <v>862.94</v>
          </cell>
        </row>
        <row r="11">
          <cell r="H11">
            <v>9325</v>
          </cell>
        </row>
        <row r="11">
          <cell r="K11">
            <v>-322</v>
          </cell>
          <cell r="L11">
            <v>148.66</v>
          </cell>
          <cell r="M11">
            <v>-470.66</v>
          </cell>
        </row>
        <row r="12">
          <cell r="A12">
            <v>2020</v>
          </cell>
        </row>
        <row r="12">
          <cell r="E12">
            <v>1374</v>
          </cell>
          <cell r="F12">
            <v>1211.6</v>
          </cell>
        </row>
        <row r="12">
          <cell r="H12">
            <v>9725</v>
          </cell>
        </row>
        <row r="12">
          <cell r="K12">
            <v>329</v>
          </cell>
          <cell r="L12">
            <v>348.66</v>
          </cell>
          <cell r="M12">
            <v>-19.66</v>
          </cell>
        </row>
        <row r="13">
          <cell r="A13">
            <v>2022</v>
          </cell>
        </row>
        <row r="13">
          <cell r="E13">
            <v>640</v>
          </cell>
          <cell r="F13">
            <v>335.26</v>
          </cell>
        </row>
        <row r="13">
          <cell r="H13">
            <v>8900</v>
          </cell>
        </row>
        <row r="13">
          <cell r="K13">
            <v>-734</v>
          </cell>
          <cell r="L13">
            <v>-876.34</v>
          </cell>
          <cell r="M13">
            <v>142.34</v>
          </cell>
        </row>
        <row r="14">
          <cell r="A14">
            <v>2024</v>
          </cell>
        </row>
        <row r="14">
          <cell r="E14">
            <v>1020</v>
          </cell>
          <cell r="F14">
            <v>633.92</v>
          </cell>
        </row>
        <row r="14">
          <cell r="H14">
            <v>9250</v>
          </cell>
        </row>
        <row r="14">
          <cell r="K14">
            <v>380</v>
          </cell>
          <cell r="L14">
            <v>298.66</v>
          </cell>
          <cell r="M14">
            <v>81.34</v>
          </cell>
        </row>
        <row r="15">
          <cell r="A15">
            <v>2026</v>
          </cell>
        </row>
        <row r="15">
          <cell r="E15">
            <v>1944</v>
          </cell>
          <cell r="F15">
            <v>1707.58</v>
          </cell>
        </row>
        <row r="15">
          <cell r="H15">
            <v>10375</v>
          </cell>
        </row>
        <row r="15">
          <cell r="K15">
            <v>924</v>
          </cell>
          <cell r="L15">
            <v>1073.66</v>
          </cell>
          <cell r="M15">
            <v>-149.66</v>
          </cell>
        </row>
        <row r="16">
          <cell r="A16">
            <v>2028</v>
          </cell>
        </row>
        <row r="16">
          <cell r="E16">
            <v>1064</v>
          </cell>
          <cell r="F16">
            <v>806.24</v>
          </cell>
        </row>
        <row r="16">
          <cell r="H16">
            <v>9525</v>
          </cell>
        </row>
        <row r="16">
          <cell r="K16">
            <v>-880</v>
          </cell>
          <cell r="L16">
            <v>-901.34</v>
          </cell>
          <cell r="M16">
            <v>21.3399999999999</v>
          </cell>
        </row>
        <row r="17">
          <cell r="A17">
            <v>2030</v>
          </cell>
        </row>
        <row r="17">
          <cell r="E17">
            <v>680</v>
          </cell>
          <cell r="F17">
            <v>1079.9</v>
          </cell>
        </row>
        <row r="17">
          <cell r="H17">
            <v>9850</v>
          </cell>
        </row>
        <row r="17">
          <cell r="K17">
            <v>-384</v>
          </cell>
          <cell r="L17">
            <v>273.66</v>
          </cell>
          <cell r="M17">
            <v>-657.66</v>
          </cell>
        </row>
        <row r="18">
          <cell r="A18">
            <v>2032</v>
          </cell>
        </row>
        <row r="18">
          <cell r="E18">
            <v>1648</v>
          </cell>
          <cell r="F18">
            <v>1403.56</v>
          </cell>
        </row>
        <row r="18">
          <cell r="H18">
            <v>10225</v>
          </cell>
        </row>
        <row r="18">
          <cell r="K18">
            <v>968</v>
          </cell>
          <cell r="L18">
            <v>323.66</v>
          </cell>
          <cell r="M18">
            <v>644.34</v>
          </cell>
        </row>
        <row r="19">
          <cell r="A19">
            <v>2034</v>
          </cell>
        </row>
        <row r="19">
          <cell r="E19">
            <v>2472</v>
          </cell>
          <cell r="F19">
            <v>1852.22</v>
          </cell>
        </row>
        <row r="19">
          <cell r="H19">
            <v>10725</v>
          </cell>
        </row>
        <row r="19">
          <cell r="K19">
            <v>824</v>
          </cell>
          <cell r="L19">
            <v>448.66</v>
          </cell>
          <cell r="M19">
            <v>375.34</v>
          </cell>
        </row>
        <row r="20">
          <cell r="A20">
            <v>2036</v>
          </cell>
        </row>
        <row r="20">
          <cell r="E20">
            <v>1548</v>
          </cell>
          <cell r="F20">
            <v>1550.88</v>
          </cell>
        </row>
        <row r="20">
          <cell r="H20">
            <v>10475</v>
          </cell>
        </row>
        <row r="20">
          <cell r="K20">
            <v>-924</v>
          </cell>
          <cell r="L20">
            <v>-301.34</v>
          </cell>
          <cell r="M20">
            <v>-622.66</v>
          </cell>
        </row>
        <row r="21">
          <cell r="A21">
            <v>2038</v>
          </cell>
        </row>
        <row r="21">
          <cell r="E21">
            <v>1456</v>
          </cell>
          <cell r="F21">
            <v>1574.54</v>
          </cell>
        </row>
        <row r="21">
          <cell r="H21">
            <v>10550</v>
          </cell>
        </row>
        <row r="21">
          <cell r="K21">
            <v>-92</v>
          </cell>
          <cell r="L21">
            <v>23.6600000000001</v>
          </cell>
          <cell r="M21">
            <v>-115.66</v>
          </cell>
        </row>
        <row r="22">
          <cell r="A22">
            <v>2040</v>
          </cell>
        </row>
        <row r="22">
          <cell r="E22">
            <v>1511</v>
          </cell>
          <cell r="F22">
            <v>923.2</v>
          </cell>
        </row>
        <row r="22">
          <cell r="H22">
            <v>9950</v>
          </cell>
        </row>
        <row r="22">
          <cell r="K22">
            <v>55</v>
          </cell>
          <cell r="L22">
            <v>-651.34</v>
          </cell>
          <cell r="M22">
            <v>706.34</v>
          </cell>
        </row>
        <row r="23">
          <cell r="A23">
            <v>2042</v>
          </cell>
        </row>
        <row r="23">
          <cell r="E23">
            <v>2569</v>
          </cell>
          <cell r="F23">
            <v>2296.86</v>
          </cell>
        </row>
        <row r="23">
          <cell r="H23">
            <v>11375</v>
          </cell>
        </row>
        <row r="23">
          <cell r="K23">
            <v>1058</v>
          </cell>
          <cell r="L23">
            <v>1373.66</v>
          </cell>
          <cell r="M23">
            <v>-315.66</v>
          </cell>
        </row>
        <row r="24">
          <cell r="A24">
            <v>2044</v>
          </cell>
        </row>
        <row r="24">
          <cell r="E24">
            <v>2352</v>
          </cell>
          <cell r="F24">
            <v>2070.52</v>
          </cell>
        </row>
        <row r="24">
          <cell r="H24">
            <v>11200</v>
          </cell>
        </row>
        <row r="24">
          <cell r="K24">
            <v>-217</v>
          </cell>
          <cell r="L24">
            <v>-226.34</v>
          </cell>
          <cell r="M24">
            <v>9.33999999999969</v>
          </cell>
        </row>
        <row r="25">
          <cell r="A25">
            <v>2046</v>
          </cell>
        </row>
        <row r="25">
          <cell r="E25">
            <v>2304</v>
          </cell>
          <cell r="F25">
            <v>2019.18</v>
          </cell>
        </row>
        <row r="25">
          <cell r="H25">
            <v>11200</v>
          </cell>
        </row>
        <row r="25">
          <cell r="K25">
            <v>-48</v>
          </cell>
          <cell r="L25">
            <v>-51.3400000000001</v>
          </cell>
          <cell r="M25">
            <v>3.34000000000015</v>
          </cell>
        </row>
        <row r="26">
          <cell r="A26">
            <v>2048</v>
          </cell>
        </row>
        <row r="26">
          <cell r="E26">
            <v>2594</v>
          </cell>
          <cell r="F26">
            <v>2342.84</v>
          </cell>
        </row>
        <row r="26">
          <cell r="H26">
            <v>11575</v>
          </cell>
        </row>
        <row r="26">
          <cell r="K26">
            <v>290</v>
          </cell>
          <cell r="L26">
            <v>323.66</v>
          </cell>
          <cell r="M26">
            <v>-33.6600000000003</v>
          </cell>
        </row>
        <row r="27">
          <cell r="A27">
            <v>2050</v>
          </cell>
        </row>
        <row r="27">
          <cell r="E27">
            <v>2956</v>
          </cell>
          <cell r="F27">
            <v>2716.5</v>
          </cell>
        </row>
        <row r="27">
          <cell r="H27">
            <v>12000</v>
          </cell>
        </row>
        <row r="27">
          <cell r="K27">
            <v>362</v>
          </cell>
          <cell r="L27">
            <v>373.66</v>
          </cell>
          <cell r="M27">
            <v>-11.6599999999999</v>
          </cell>
        </row>
        <row r="28">
          <cell r="A28">
            <v>2052</v>
          </cell>
        </row>
        <row r="28">
          <cell r="E28">
            <v>2054</v>
          </cell>
          <cell r="F28">
            <v>1865.16</v>
          </cell>
        </row>
        <row r="28">
          <cell r="H28">
            <v>11200</v>
          </cell>
          <cell r="I28">
            <v>1200</v>
          </cell>
        </row>
        <row r="28">
          <cell r="K28">
            <v>-902</v>
          </cell>
          <cell r="L28">
            <v>-851.34</v>
          </cell>
          <cell r="M28">
            <v>-50.6599999999999</v>
          </cell>
        </row>
        <row r="29">
          <cell r="A29">
            <v>2054</v>
          </cell>
        </row>
        <row r="29">
          <cell r="E29">
            <v>3260</v>
          </cell>
          <cell r="F29">
            <v>3413.82</v>
          </cell>
        </row>
        <row r="29">
          <cell r="I29">
            <v>2800</v>
          </cell>
        </row>
        <row r="29">
          <cell r="K29">
            <v>1206</v>
          </cell>
          <cell r="L29">
            <v>1548.66</v>
          </cell>
          <cell r="M29">
            <v>-342.66</v>
          </cell>
        </row>
        <row r="30">
          <cell r="A30">
            <v>2056</v>
          </cell>
        </row>
        <row r="30">
          <cell r="E30">
            <v>3060</v>
          </cell>
          <cell r="F30">
            <v>3462.48</v>
          </cell>
        </row>
        <row r="30">
          <cell r="I30">
            <v>2900</v>
          </cell>
        </row>
        <row r="30">
          <cell r="K30">
            <v>-200</v>
          </cell>
          <cell r="L30">
            <v>48.6600000000003</v>
          </cell>
          <cell r="M30">
            <v>-248.66</v>
          </cell>
        </row>
        <row r="31">
          <cell r="A31">
            <v>2058</v>
          </cell>
        </row>
        <row r="31">
          <cell r="E31">
            <v>3584</v>
          </cell>
          <cell r="F31">
            <v>3011.14</v>
          </cell>
        </row>
        <row r="31">
          <cell r="I31">
            <v>2500</v>
          </cell>
        </row>
        <row r="31">
          <cell r="K31">
            <v>524</v>
          </cell>
          <cell r="L31">
            <v>-451.34</v>
          </cell>
          <cell r="M31">
            <v>975.34</v>
          </cell>
        </row>
        <row r="32">
          <cell r="A32">
            <v>2060</v>
          </cell>
        </row>
        <row r="32">
          <cell r="E32">
            <v>2560</v>
          </cell>
          <cell r="F32">
            <v>1634.8</v>
          </cell>
        </row>
        <row r="32">
          <cell r="I32">
            <v>1175</v>
          </cell>
        </row>
        <row r="32">
          <cell r="K32">
            <v>-1024</v>
          </cell>
          <cell r="L32">
            <v>-1376.34</v>
          </cell>
          <cell r="M32">
            <v>352.34</v>
          </cell>
        </row>
        <row r="33">
          <cell r="A33">
            <v>2062</v>
          </cell>
        </row>
        <row r="33">
          <cell r="E33">
            <v>1551</v>
          </cell>
          <cell r="F33">
            <v>1233.46</v>
          </cell>
        </row>
        <row r="33">
          <cell r="I33">
            <v>825</v>
          </cell>
        </row>
        <row r="33">
          <cell r="K33">
            <v>-1009</v>
          </cell>
          <cell r="L33">
            <v>-401.34</v>
          </cell>
          <cell r="M33">
            <v>-607.66</v>
          </cell>
        </row>
        <row r="34">
          <cell r="A34">
            <v>2064</v>
          </cell>
        </row>
        <row r="34">
          <cell r="E34">
            <v>3324</v>
          </cell>
          <cell r="F34">
            <v>2357.12</v>
          </cell>
        </row>
        <row r="34">
          <cell r="I34">
            <v>2000</v>
          </cell>
        </row>
        <row r="34">
          <cell r="K34">
            <v>1773</v>
          </cell>
          <cell r="L34">
            <v>1123.66</v>
          </cell>
          <cell r="M34">
            <v>649.34</v>
          </cell>
        </row>
        <row r="35">
          <cell r="A35">
            <v>2066</v>
          </cell>
        </row>
        <row r="35">
          <cell r="E35">
            <v>4511</v>
          </cell>
          <cell r="F35">
            <v>2855.78</v>
          </cell>
        </row>
        <row r="35">
          <cell r="I35">
            <v>2550</v>
          </cell>
        </row>
        <row r="35">
          <cell r="K35">
            <v>1187</v>
          </cell>
          <cell r="L35">
            <v>498.66</v>
          </cell>
          <cell r="M35">
            <v>688.34</v>
          </cell>
        </row>
        <row r="36">
          <cell r="A36">
            <v>2068</v>
          </cell>
        </row>
        <row r="36">
          <cell r="E36">
            <v>4924</v>
          </cell>
          <cell r="F36">
            <v>3229.44</v>
          </cell>
        </row>
        <row r="36">
          <cell r="I36">
            <v>2975</v>
          </cell>
        </row>
        <row r="36">
          <cell r="K36">
            <v>413</v>
          </cell>
          <cell r="L36">
            <v>373.66</v>
          </cell>
          <cell r="M36">
            <v>39.3400000000001</v>
          </cell>
        </row>
        <row r="37">
          <cell r="A37">
            <v>2070</v>
          </cell>
        </row>
        <row r="37">
          <cell r="E37">
            <v>5047</v>
          </cell>
          <cell r="F37">
            <v>3028.1</v>
          </cell>
        </row>
        <row r="37">
          <cell r="I37">
            <v>2825</v>
          </cell>
        </row>
        <row r="37">
          <cell r="K37">
            <v>123</v>
          </cell>
          <cell r="L37">
            <v>-201.34</v>
          </cell>
          <cell r="M37">
            <v>324.34</v>
          </cell>
        </row>
        <row r="38">
          <cell r="A38">
            <v>2072</v>
          </cell>
        </row>
        <row r="38">
          <cell r="E38">
            <v>4719</v>
          </cell>
          <cell r="F38">
            <v>2576.76</v>
          </cell>
        </row>
        <row r="38">
          <cell r="I38">
            <v>2425</v>
          </cell>
        </row>
        <row r="38">
          <cell r="K38">
            <v>-328</v>
          </cell>
          <cell r="L38">
            <v>-451.34</v>
          </cell>
          <cell r="M38">
            <v>123.34</v>
          </cell>
        </row>
        <row r="39">
          <cell r="A39">
            <v>2074</v>
          </cell>
        </row>
        <row r="39">
          <cell r="E39">
            <v>4774</v>
          </cell>
          <cell r="F39">
            <v>2375.42</v>
          </cell>
        </row>
        <row r="39">
          <cell r="I39">
            <v>2275</v>
          </cell>
        </row>
        <row r="39">
          <cell r="K39">
            <v>55</v>
          </cell>
          <cell r="L39">
            <v>-201.34</v>
          </cell>
          <cell r="M39">
            <v>256.34</v>
          </cell>
        </row>
        <row r="40">
          <cell r="A40">
            <v>2076</v>
          </cell>
        </row>
        <row r="40">
          <cell r="E40">
            <v>6182</v>
          </cell>
          <cell r="F40">
            <v>3324.08</v>
          </cell>
        </row>
        <row r="40">
          <cell r="I40">
            <v>3275</v>
          </cell>
        </row>
        <row r="40">
          <cell r="K40">
            <v>1408</v>
          </cell>
          <cell r="L40">
            <v>948.66</v>
          </cell>
          <cell r="M40">
            <v>459.34</v>
          </cell>
        </row>
        <row r="41">
          <cell r="A41">
            <v>2078</v>
          </cell>
        </row>
        <row r="41">
          <cell r="E41">
            <v>5242</v>
          </cell>
          <cell r="F41">
            <v>2222.74</v>
          </cell>
        </row>
        <row r="41">
          <cell r="I41">
            <v>2225</v>
          </cell>
        </row>
        <row r="41">
          <cell r="K41">
            <v>-940</v>
          </cell>
          <cell r="L41">
            <v>-1101.34</v>
          </cell>
          <cell r="M41">
            <v>161.34</v>
          </cell>
        </row>
        <row r="42">
          <cell r="A42">
            <v>2080</v>
          </cell>
        </row>
        <row r="42">
          <cell r="E42">
            <v>6224</v>
          </cell>
          <cell r="F42">
            <v>2596.4</v>
          </cell>
        </row>
        <row r="42">
          <cell r="I42">
            <v>2650</v>
          </cell>
        </row>
        <row r="42">
          <cell r="K42">
            <v>982</v>
          </cell>
          <cell r="L42">
            <v>373.66</v>
          </cell>
          <cell r="M42">
            <v>608.34</v>
          </cell>
        </row>
        <row r="43">
          <cell r="A43">
            <v>2082</v>
          </cell>
        </row>
        <row r="43">
          <cell r="E43">
            <v>6554</v>
          </cell>
          <cell r="F43">
            <v>3320.06</v>
          </cell>
        </row>
        <row r="43">
          <cell r="I43">
            <v>3425</v>
          </cell>
        </row>
        <row r="43">
          <cell r="K43">
            <v>330</v>
          </cell>
          <cell r="L43">
            <v>723.66</v>
          </cell>
          <cell r="M43">
            <v>-393.66</v>
          </cell>
        </row>
        <row r="44">
          <cell r="A44">
            <v>2084</v>
          </cell>
        </row>
        <row r="44">
          <cell r="E44">
            <v>6735</v>
          </cell>
          <cell r="F44">
            <v>2943.72</v>
          </cell>
        </row>
        <row r="44">
          <cell r="I44">
            <v>3100</v>
          </cell>
        </row>
        <row r="44">
          <cell r="K44">
            <v>181</v>
          </cell>
          <cell r="L44">
            <v>-376.34</v>
          </cell>
          <cell r="M44">
            <v>557.34</v>
          </cell>
        </row>
        <row r="45">
          <cell r="A45">
            <v>2086</v>
          </cell>
        </row>
        <row r="45">
          <cell r="E45">
            <v>6391</v>
          </cell>
          <cell r="F45">
            <v>1567.38</v>
          </cell>
        </row>
        <row r="45">
          <cell r="I45">
            <v>1775</v>
          </cell>
        </row>
        <row r="45">
          <cell r="K45">
            <v>-344</v>
          </cell>
          <cell r="L45">
            <v>-1376.34</v>
          </cell>
          <cell r="M45">
            <v>1032.34</v>
          </cell>
        </row>
        <row r="46">
          <cell r="A46">
            <v>2088</v>
          </cell>
        </row>
        <row r="46">
          <cell r="E46">
            <v>5782</v>
          </cell>
          <cell r="F46">
            <v>341.04</v>
          </cell>
        </row>
        <row r="46">
          <cell r="I46">
            <v>600</v>
          </cell>
          <cell r="J46">
            <v>2600</v>
          </cell>
          <cell r="K46">
            <v>-609</v>
          </cell>
          <cell r="L46">
            <v>-1226.34</v>
          </cell>
          <cell r="M46">
            <v>617.34</v>
          </cell>
        </row>
        <row r="47">
          <cell r="A47">
            <v>2090</v>
          </cell>
        </row>
        <row r="47">
          <cell r="E47">
            <v>4627</v>
          </cell>
          <cell r="F47">
            <v>-810.3</v>
          </cell>
        </row>
        <row r="47">
          <cell r="J47">
            <v>1500</v>
          </cell>
          <cell r="K47">
            <v>-1155</v>
          </cell>
          <cell r="L47">
            <v>-1151.34</v>
          </cell>
          <cell r="M47">
            <v>-3.65999999999985</v>
          </cell>
        </row>
        <row r="48">
          <cell r="A48">
            <v>2092</v>
          </cell>
        </row>
        <row r="48">
          <cell r="E48">
            <v>3895</v>
          </cell>
          <cell r="F48">
            <v>-1586.64</v>
          </cell>
        </row>
        <row r="48">
          <cell r="J48">
            <v>775</v>
          </cell>
          <cell r="K48">
            <v>-732</v>
          </cell>
          <cell r="L48">
            <v>-776.34</v>
          </cell>
          <cell r="M48">
            <v>44.3400000000001</v>
          </cell>
        </row>
        <row r="49">
          <cell r="A49">
            <v>2094</v>
          </cell>
        </row>
        <row r="49">
          <cell r="E49">
            <v>4802</v>
          </cell>
          <cell r="F49">
            <v>-637.98</v>
          </cell>
        </row>
        <row r="49">
          <cell r="J49">
            <v>1775</v>
          </cell>
          <cell r="K49">
            <v>907</v>
          </cell>
          <cell r="L49">
            <v>948.66</v>
          </cell>
          <cell r="M49">
            <v>-41.6600000000003</v>
          </cell>
        </row>
        <row r="50">
          <cell r="A50">
            <v>2096</v>
          </cell>
        </row>
        <row r="50">
          <cell r="E50">
            <v>4618</v>
          </cell>
          <cell r="F50">
            <v>-1014.32</v>
          </cell>
        </row>
        <row r="50">
          <cell r="J50">
            <v>1450</v>
          </cell>
          <cell r="K50">
            <v>-184</v>
          </cell>
          <cell r="L50">
            <v>-376.34</v>
          </cell>
          <cell r="M50">
            <v>192.34</v>
          </cell>
        </row>
        <row r="51">
          <cell r="A51">
            <v>2098</v>
          </cell>
        </row>
        <row r="51">
          <cell r="E51">
            <v>5805</v>
          </cell>
          <cell r="F51">
            <v>-240.66</v>
          </cell>
        </row>
        <row r="51">
          <cell r="J51">
            <v>2275</v>
          </cell>
          <cell r="K51">
            <v>1187</v>
          </cell>
          <cell r="L51">
            <v>773.66</v>
          </cell>
          <cell r="M51">
            <v>413.34</v>
          </cell>
        </row>
        <row r="52">
          <cell r="A52">
            <v>2100</v>
          </cell>
        </row>
        <row r="52">
          <cell r="E52">
            <v>6583</v>
          </cell>
          <cell r="F52">
            <v>1008</v>
          </cell>
        </row>
        <row r="52">
          <cell r="J52">
            <v>3575</v>
          </cell>
          <cell r="K52">
            <v>778</v>
          </cell>
          <cell r="L52">
            <v>1248.66</v>
          </cell>
          <cell r="M52">
            <v>-470.66</v>
          </cell>
        </row>
        <row r="53">
          <cell r="A53">
            <v>2102</v>
          </cell>
        </row>
        <row r="53">
          <cell r="E53">
            <v>8164</v>
          </cell>
          <cell r="F53">
            <v>2406.66</v>
          </cell>
        </row>
        <row r="53">
          <cell r="J53">
            <v>5025</v>
          </cell>
          <cell r="K53">
            <v>1581</v>
          </cell>
          <cell r="L53">
            <v>1398.66</v>
          </cell>
          <cell r="M53">
            <v>182.34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workbookViewId="0">
      <selection activeCell="B2" sqref="B2:B52"/>
    </sheetView>
  </sheetViews>
  <sheetFormatPr defaultColWidth="9" defaultRowHeight="13.5"/>
  <cols>
    <col min="1" max="1" width="9" style="1"/>
    <col min="2" max="2" width="13.75" style="1"/>
    <col min="3" max="3" width="9" style="1" customWidth="1"/>
    <col min="4" max="16384" width="9" style="1"/>
  </cols>
  <sheetData>
    <row r="1" spans="1:22">
      <c r="A1" s="2" t="s">
        <v>0</v>
      </c>
      <c r="B1" s="2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</row>
    <row r="2" spans="1:22">
      <c r="A2" s="2" t="s">
        <v>22</v>
      </c>
      <c r="B2" s="2">
        <v>675</v>
      </c>
      <c r="C2" s="19">
        <v>1</v>
      </c>
      <c r="D2" s="19">
        <v>1</v>
      </c>
      <c r="E2" s="19">
        <v>0</v>
      </c>
      <c r="F2" s="19">
        <v>1</v>
      </c>
      <c r="G2" s="19">
        <v>1</v>
      </c>
      <c r="H2" s="19">
        <v>0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1</v>
      </c>
      <c r="P2" s="19">
        <v>1</v>
      </c>
      <c r="Q2" s="19">
        <v>1</v>
      </c>
      <c r="R2" s="19">
        <v>0</v>
      </c>
      <c r="S2" s="19">
        <v>0</v>
      </c>
      <c r="T2" s="19">
        <v>0</v>
      </c>
      <c r="U2" s="19">
        <v>1</v>
      </c>
      <c r="V2" s="19">
        <v>10901</v>
      </c>
    </row>
    <row r="3" spans="1:22">
      <c r="A3" s="2" t="s">
        <v>23</v>
      </c>
      <c r="B3" s="2">
        <v>-900</v>
      </c>
      <c r="C3" s="19">
        <v>1</v>
      </c>
      <c r="D3" s="19">
        <v>0</v>
      </c>
      <c r="E3" s="19">
        <v>0</v>
      </c>
      <c r="F3" s="19">
        <v>0</v>
      </c>
      <c r="G3" s="19">
        <v>0</v>
      </c>
      <c r="H3" s="19">
        <v>1</v>
      </c>
      <c r="I3" s="19">
        <v>0</v>
      </c>
      <c r="J3" s="19">
        <v>0</v>
      </c>
      <c r="K3" s="19">
        <v>1</v>
      </c>
      <c r="L3" s="19">
        <v>0</v>
      </c>
      <c r="M3" s="19">
        <v>0</v>
      </c>
      <c r="N3" s="19">
        <v>1</v>
      </c>
      <c r="O3" s="19">
        <v>0</v>
      </c>
      <c r="P3" s="19">
        <v>1</v>
      </c>
      <c r="Q3" s="19">
        <v>1</v>
      </c>
      <c r="R3" s="19">
        <v>0</v>
      </c>
      <c r="S3" s="19">
        <v>0</v>
      </c>
      <c r="T3" s="19">
        <v>1</v>
      </c>
      <c r="U3" s="19">
        <v>1</v>
      </c>
      <c r="V3" s="19">
        <v>10901</v>
      </c>
    </row>
    <row r="4" spans="1:22">
      <c r="A4" s="2" t="s">
        <v>24</v>
      </c>
      <c r="B4" s="2">
        <v>1100</v>
      </c>
      <c r="C4" s="19">
        <v>1</v>
      </c>
      <c r="D4" s="19">
        <v>1</v>
      </c>
      <c r="E4" s="19">
        <v>1</v>
      </c>
      <c r="F4" s="19">
        <v>0</v>
      </c>
      <c r="G4" s="19">
        <v>0</v>
      </c>
      <c r="H4" s="19">
        <v>0</v>
      </c>
      <c r="I4" s="19">
        <v>1</v>
      </c>
      <c r="J4" s="19">
        <v>0</v>
      </c>
      <c r="K4" s="19">
        <v>0</v>
      </c>
      <c r="L4" s="19">
        <v>0</v>
      </c>
      <c r="M4" s="19">
        <v>1</v>
      </c>
      <c r="N4" s="19">
        <v>0</v>
      </c>
      <c r="O4" s="19">
        <v>1</v>
      </c>
      <c r="P4" s="19">
        <v>0</v>
      </c>
      <c r="Q4" s="19">
        <v>1</v>
      </c>
      <c r="R4" s="19">
        <v>1</v>
      </c>
      <c r="S4" s="19">
        <v>0</v>
      </c>
      <c r="T4" s="19">
        <v>1</v>
      </c>
      <c r="U4" s="19">
        <v>0</v>
      </c>
      <c r="V4" s="19">
        <v>11901</v>
      </c>
    </row>
    <row r="5" spans="1:22">
      <c r="A5" s="2" t="s">
        <v>25</v>
      </c>
      <c r="B5" s="2">
        <v>25</v>
      </c>
      <c r="C5" s="19">
        <v>1</v>
      </c>
      <c r="D5" s="19">
        <v>0</v>
      </c>
      <c r="E5" s="19">
        <v>1</v>
      </c>
      <c r="F5" s="19">
        <v>0</v>
      </c>
      <c r="G5" s="19">
        <v>1</v>
      </c>
      <c r="H5" s="19">
        <v>1</v>
      </c>
      <c r="I5" s="19">
        <v>0</v>
      </c>
      <c r="J5" s="19">
        <v>0</v>
      </c>
      <c r="K5" s="19">
        <v>0</v>
      </c>
      <c r="L5" s="19">
        <v>0</v>
      </c>
      <c r="M5" s="19">
        <v>1</v>
      </c>
      <c r="N5" s="19">
        <v>1</v>
      </c>
      <c r="O5" s="19">
        <v>0</v>
      </c>
      <c r="P5" s="19">
        <v>1</v>
      </c>
      <c r="Q5" s="19">
        <v>0</v>
      </c>
      <c r="R5" s="19">
        <v>1</v>
      </c>
      <c r="S5" s="19">
        <v>1</v>
      </c>
      <c r="T5" s="19">
        <v>0</v>
      </c>
      <c r="U5" s="19">
        <v>0</v>
      </c>
      <c r="V5" s="19">
        <v>16401</v>
      </c>
    </row>
    <row r="6" spans="1:22">
      <c r="A6" s="2" t="s">
        <v>26</v>
      </c>
      <c r="B6" s="2">
        <v>-25</v>
      </c>
      <c r="C6" s="19">
        <v>1</v>
      </c>
      <c r="D6" s="19">
        <v>1</v>
      </c>
      <c r="E6" s="19">
        <v>1</v>
      </c>
      <c r="F6" s="19">
        <v>0</v>
      </c>
      <c r="G6" s="19">
        <v>0</v>
      </c>
      <c r="H6" s="19">
        <v>1</v>
      </c>
      <c r="I6" s="19">
        <v>0</v>
      </c>
      <c r="J6" s="19">
        <v>0</v>
      </c>
      <c r="K6" s="19">
        <v>0</v>
      </c>
      <c r="L6" s="19">
        <v>0</v>
      </c>
      <c r="M6" s="19">
        <v>1</v>
      </c>
      <c r="N6" s="19">
        <v>0</v>
      </c>
      <c r="O6" s="19">
        <v>1</v>
      </c>
      <c r="P6" s="19">
        <v>1</v>
      </c>
      <c r="Q6" s="19">
        <v>0</v>
      </c>
      <c r="R6" s="19">
        <v>0</v>
      </c>
      <c r="S6" s="19">
        <v>1</v>
      </c>
      <c r="T6" s="19">
        <v>0</v>
      </c>
      <c r="U6" s="19">
        <v>1</v>
      </c>
      <c r="V6" s="19">
        <v>13901</v>
      </c>
    </row>
    <row r="7" spans="1:22">
      <c r="A7" s="2" t="s">
        <v>27</v>
      </c>
      <c r="B7" s="2">
        <v>825</v>
      </c>
      <c r="C7" s="19">
        <v>1</v>
      </c>
      <c r="D7" s="19">
        <v>1</v>
      </c>
      <c r="E7" s="19">
        <v>0</v>
      </c>
      <c r="F7" s="19">
        <v>1</v>
      </c>
      <c r="G7" s="19">
        <v>1</v>
      </c>
      <c r="H7" s="19">
        <v>1</v>
      </c>
      <c r="I7" s="19">
        <v>1</v>
      </c>
      <c r="J7" s="19">
        <v>0</v>
      </c>
      <c r="K7" s="19">
        <v>0</v>
      </c>
      <c r="L7" s="19">
        <v>0</v>
      </c>
      <c r="M7" s="19">
        <v>1</v>
      </c>
      <c r="N7" s="19">
        <v>0</v>
      </c>
      <c r="O7" s="19">
        <v>0</v>
      </c>
      <c r="P7" s="19">
        <v>0</v>
      </c>
      <c r="Q7" s="19">
        <v>1</v>
      </c>
      <c r="R7" s="19">
        <v>1</v>
      </c>
      <c r="S7" s="19">
        <v>0</v>
      </c>
      <c r="T7" s="19">
        <v>0</v>
      </c>
      <c r="U7" s="19">
        <v>0</v>
      </c>
      <c r="V7" s="19">
        <v>12901</v>
      </c>
    </row>
    <row r="8" spans="1:22">
      <c r="A8" s="2" t="s">
        <v>28</v>
      </c>
      <c r="B8" s="2">
        <v>325</v>
      </c>
      <c r="C8" s="19">
        <v>1</v>
      </c>
      <c r="D8" s="19">
        <v>1</v>
      </c>
      <c r="E8" s="19">
        <v>0</v>
      </c>
      <c r="F8" s="19">
        <v>1</v>
      </c>
      <c r="G8" s="19">
        <v>1</v>
      </c>
      <c r="H8" s="19">
        <v>0</v>
      </c>
      <c r="I8" s="19">
        <v>1</v>
      </c>
      <c r="J8" s="19">
        <v>0</v>
      </c>
      <c r="K8" s="19">
        <v>0</v>
      </c>
      <c r="L8" s="19">
        <v>0</v>
      </c>
      <c r="M8" s="19">
        <v>1</v>
      </c>
      <c r="N8" s="19">
        <v>1</v>
      </c>
      <c r="O8" s="19">
        <v>0</v>
      </c>
      <c r="P8" s="19">
        <v>0</v>
      </c>
      <c r="Q8" s="19">
        <v>0</v>
      </c>
      <c r="R8" s="19">
        <v>0</v>
      </c>
      <c r="S8" s="19">
        <v>1</v>
      </c>
      <c r="T8" s="19">
        <v>1</v>
      </c>
      <c r="U8" s="19">
        <v>0</v>
      </c>
      <c r="V8" s="19">
        <v>14901</v>
      </c>
    </row>
    <row r="9" spans="1:22">
      <c r="A9" s="2" t="s">
        <v>29</v>
      </c>
      <c r="B9" s="2">
        <v>-900</v>
      </c>
      <c r="C9" s="19">
        <v>1</v>
      </c>
      <c r="D9" s="19">
        <v>0</v>
      </c>
      <c r="E9" s="19">
        <v>1</v>
      </c>
      <c r="F9" s="19">
        <v>1</v>
      </c>
      <c r="G9" s="19">
        <v>0</v>
      </c>
      <c r="H9" s="19">
        <v>0</v>
      </c>
      <c r="I9" s="19">
        <v>0</v>
      </c>
      <c r="J9" s="19">
        <v>0</v>
      </c>
      <c r="K9" s="19">
        <v>1</v>
      </c>
      <c r="L9" s="19">
        <v>0</v>
      </c>
      <c r="M9" s="19">
        <v>0</v>
      </c>
      <c r="N9" s="19">
        <v>1</v>
      </c>
      <c r="O9" s="19">
        <v>1</v>
      </c>
      <c r="P9" s="19">
        <v>1</v>
      </c>
      <c r="Q9" s="19">
        <v>1</v>
      </c>
      <c r="R9" s="19">
        <v>0</v>
      </c>
      <c r="S9" s="19">
        <v>0</v>
      </c>
      <c r="T9" s="19">
        <v>1</v>
      </c>
      <c r="U9" s="19">
        <v>1</v>
      </c>
      <c r="V9" s="19">
        <v>13901</v>
      </c>
    </row>
    <row r="10" spans="1:22">
      <c r="A10" s="2" t="s">
        <v>30</v>
      </c>
      <c r="B10" s="2">
        <v>200</v>
      </c>
      <c r="C10" s="19">
        <v>1</v>
      </c>
      <c r="D10" s="19">
        <v>1</v>
      </c>
      <c r="E10" s="19">
        <v>0</v>
      </c>
      <c r="F10" s="19">
        <v>1</v>
      </c>
      <c r="G10" s="19">
        <v>0</v>
      </c>
      <c r="H10" s="19">
        <v>1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1</v>
      </c>
      <c r="P10" s="19">
        <v>0</v>
      </c>
      <c r="Q10" s="19">
        <v>0</v>
      </c>
      <c r="R10" s="19">
        <v>1</v>
      </c>
      <c r="S10" s="19">
        <v>1</v>
      </c>
      <c r="T10" s="19">
        <v>0</v>
      </c>
      <c r="U10" s="19">
        <v>1</v>
      </c>
      <c r="V10" s="19">
        <v>10901</v>
      </c>
    </row>
    <row r="11" spans="1:22">
      <c r="A11" s="2" t="s">
        <v>31</v>
      </c>
      <c r="B11" s="2">
        <v>400</v>
      </c>
      <c r="C11" s="19">
        <v>1</v>
      </c>
      <c r="D11" s="19">
        <v>0</v>
      </c>
      <c r="E11" s="19">
        <v>1</v>
      </c>
      <c r="F11" s="19">
        <v>1</v>
      </c>
      <c r="G11" s="19">
        <v>1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1</v>
      </c>
      <c r="O11" s="19">
        <v>0</v>
      </c>
      <c r="P11" s="19">
        <v>1</v>
      </c>
      <c r="Q11" s="19">
        <v>0</v>
      </c>
      <c r="R11" s="19">
        <v>0</v>
      </c>
      <c r="S11" s="19">
        <v>0</v>
      </c>
      <c r="T11" s="19">
        <v>1</v>
      </c>
      <c r="U11" s="19">
        <v>1</v>
      </c>
      <c r="V11" s="19">
        <v>14401</v>
      </c>
    </row>
    <row r="12" spans="1:22">
      <c r="A12" s="2" t="s">
        <v>32</v>
      </c>
      <c r="B12" s="2">
        <v>-825</v>
      </c>
      <c r="C12" s="19">
        <v>0</v>
      </c>
      <c r="D12" s="19">
        <v>0</v>
      </c>
      <c r="E12" s="19">
        <v>0</v>
      </c>
      <c r="F12" s="19">
        <v>1</v>
      </c>
      <c r="G12" s="19">
        <v>1</v>
      </c>
      <c r="H12" s="19">
        <v>0</v>
      </c>
      <c r="I12" s="19">
        <v>0</v>
      </c>
      <c r="J12" s="19">
        <v>0</v>
      </c>
      <c r="K12" s="19">
        <v>1</v>
      </c>
      <c r="L12" s="19">
        <v>0</v>
      </c>
      <c r="M12" s="19">
        <v>0</v>
      </c>
      <c r="N12" s="19">
        <v>1</v>
      </c>
      <c r="O12" s="19">
        <v>1</v>
      </c>
      <c r="P12" s="19">
        <v>0</v>
      </c>
      <c r="Q12" s="19">
        <v>1</v>
      </c>
      <c r="R12" s="19">
        <v>1</v>
      </c>
      <c r="S12" s="19">
        <v>1</v>
      </c>
      <c r="T12" s="19">
        <v>0</v>
      </c>
      <c r="U12" s="19">
        <v>1</v>
      </c>
      <c r="V12" s="19">
        <v>13401</v>
      </c>
    </row>
    <row r="13" spans="1:22">
      <c r="A13" s="2" t="s">
        <v>33</v>
      </c>
      <c r="B13" s="2">
        <v>350</v>
      </c>
      <c r="C13" s="19">
        <v>1</v>
      </c>
      <c r="D13" s="19">
        <v>1</v>
      </c>
      <c r="E13" s="19">
        <v>0</v>
      </c>
      <c r="F13" s="19">
        <v>0</v>
      </c>
      <c r="G13" s="19">
        <v>1</v>
      </c>
      <c r="H13" s="19">
        <v>1</v>
      </c>
      <c r="I13" s="19">
        <v>0</v>
      </c>
      <c r="J13" s="19">
        <v>0</v>
      </c>
      <c r="K13" s="19">
        <v>0</v>
      </c>
      <c r="L13" s="19">
        <v>0</v>
      </c>
      <c r="M13" s="19">
        <v>1</v>
      </c>
      <c r="N13" s="19">
        <v>1</v>
      </c>
      <c r="O13" s="19">
        <v>0</v>
      </c>
      <c r="P13" s="19">
        <v>1</v>
      </c>
      <c r="Q13" s="19">
        <v>0</v>
      </c>
      <c r="R13" s="19">
        <v>0</v>
      </c>
      <c r="S13" s="19">
        <v>1</v>
      </c>
      <c r="T13" s="19">
        <v>1</v>
      </c>
      <c r="U13" s="19">
        <v>0</v>
      </c>
      <c r="V13" s="19">
        <v>15901</v>
      </c>
    </row>
    <row r="14" spans="1:22">
      <c r="A14" s="2" t="s">
        <v>34</v>
      </c>
      <c r="B14" s="2">
        <v>1125</v>
      </c>
      <c r="C14" s="19">
        <v>1</v>
      </c>
      <c r="D14" s="19">
        <v>0</v>
      </c>
      <c r="E14" s="19">
        <v>1</v>
      </c>
      <c r="F14" s="19">
        <v>1</v>
      </c>
      <c r="G14" s="19">
        <v>0</v>
      </c>
      <c r="H14" s="19">
        <v>0</v>
      </c>
      <c r="I14" s="19">
        <v>1</v>
      </c>
      <c r="J14" s="19">
        <v>0</v>
      </c>
      <c r="K14" s="19">
        <v>1</v>
      </c>
      <c r="L14" s="19">
        <v>0</v>
      </c>
      <c r="M14" s="19">
        <v>1</v>
      </c>
      <c r="N14" s="19">
        <v>0</v>
      </c>
      <c r="O14" s="19">
        <v>0</v>
      </c>
      <c r="P14" s="19">
        <v>1</v>
      </c>
      <c r="Q14" s="19">
        <v>0</v>
      </c>
      <c r="R14" s="19">
        <v>1</v>
      </c>
      <c r="S14" s="19">
        <v>0</v>
      </c>
      <c r="T14" s="19">
        <v>0</v>
      </c>
      <c r="U14" s="19">
        <v>0</v>
      </c>
      <c r="V14" s="19">
        <v>11401</v>
      </c>
    </row>
    <row r="15" spans="1:22">
      <c r="A15" s="2" t="s">
        <v>35</v>
      </c>
      <c r="B15" s="2">
        <v>-850</v>
      </c>
      <c r="C15" s="19">
        <v>1</v>
      </c>
      <c r="D15" s="19">
        <v>0</v>
      </c>
      <c r="E15" s="19">
        <v>1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1</v>
      </c>
      <c r="L15" s="19">
        <v>0</v>
      </c>
      <c r="M15" s="19">
        <v>1</v>
      </c>
      <c r="N15" s="19">
        <v>1</v>
      </c>
      <c r="O15" s="19">
        <v>1</v>
      </c>
      <c r="P15" s="19">
        <v>1</v>
      </c>
      <c r="Q15" s="19">
        <v>1</v>
      </c>
      <c r="R15" s="19">
        <v>0</v>
      </c>
      <c r="S15" s="19">
        <v>0</v>
      </c>
      <c r="T15" s="19">
        <v>0</v>
      </c>
      <c r="U15" s="19">
        <v>1</v>
      </c>
      <c r="V15" s="19">
        <v>12401</v>
      </c>
    </row>
    <row r="16" spans="1:22">
      <c r="A16" s="2" t="s">
        <v>36</v>
      </c>
      <c r="B16" s="2">
        <v>325</v>
      </c>
      <c r="C16" s="19">
        <v>0</v>
      </c>
      <c r="D16" s="19">
        <v>0</v>
      </c>
      <c r="E16" s="19">
        <v>1</v>
      </c>
      <c r="F16" s="19">
        <v>1</v>
      </c>
      <c r="G16" s="19">
        <v>0</v>
      </c>
      <c r="H16" s="19">
        <v>1</v>
      </c>
      <c r="I16" s="19">
        <v>1</v>
      </c>
      <c r="J16" s="19">
        <v>0</v>
      </c>
      <c r="K16" s="19">
        <v>0</v>
      </c>
      <c r="L16" s="19">
        <v>0</v>
      </c>
      <c r="M16" s="19">
        <v>0</v>
      </c>
      <c r="N16" s="19">
        <v>1</v>
      </c>
      <c r="O16" s="19">
        <v>0</v>
      </c>
      <c r="P16" s="19">
        <v>1</v>
      </c>
      <c r="Q16" s="19">
        <v>0</v>
      </c>
      <c r="R16" s="19">
        <v>1</v>
      </c>
      <c r="S16" s="19">
        <v>0</v>
      </c>
      <c r="T16" s="19">
        <v>1</v>
      </c>
      <c r="U16" s="19">
        <v>0</v>
      </c>
      <c r="V16" s="19">
        <v>12901</v>
      </c>
    </row>
    <row r="17" spans="1:22">
      <c r="A17" s="2" t="s">
        <v>37</v>
      </c>
      <c r="B17" s="2">
        <v>375</v>
      </c>
      <c r="C17" s="19">
        <v>1</v>
      </c>
      <c r="D17" s="19">
        <v>0</v>
      </c>
      <c r="E17" s="19">
        <v>1</v>
      </c>
      <c r="F17" s="19">
        <v>1</v>
      </c>
      <c r="G17" s="19">
        <v>0</v>
      </c>
      <c r="H17" s="19">
        <v>0</v>
      </c>
      <c r="I17" s="19">
        <v>0</v>
      </c>
      <c r="J17" s="19">
        <v>0</v>
      </c>
      <c r="K17" s="19">
        <v>1</v>
      </c>
      <c r="L17" s="19">
        <v>0</v>
      </c>
      <c r="M17" s="19">
        <v>1</v>
      </c>
      <c r="N17" s="19">
        <v>0</v>
      </c>
      <c r="O17" s="19">
        <v>1</v>
      </c>
      <c r="P17" s="19">
        <v>1</v>
      </c>
      <c r="Q17" s="19">
        <v>1</v>
      </c>
      <c r="R17" s="19">
        <v>1</v>
      </c>
      <c r="S17" s="19">
        <v>1</v>
      </c>
      <c r="T17" s="19">
        <v>0</v>
      </c>
      <c r="U17" s="19">
        <v>0</v>
      </c>
      <c r="V17" s="19">
        <v>12901</v>
      </c>
    </row>
    <row r="18" spans="1:22">
      <c r="A18" s="2" t="s">
        <v>38</v>
      </c>
      <c r="B18" s="2">
        <v>500</v>
      </c>
      <c r="C18" s="19">
        <v>1</v>
      </c>
      <c r="D18" s="19">
        <v>0</v>
      </c>
      <c r="E18" s="19">
        <v>1</v>
      </c>
      <c r="F18" s="19">
        <v>1</v>
      </c>
      <c r="G18" s="19">
        <v>0</v>
      </c>
      <c r="H18" s="19">
        <v>1</v>
      </c>
      <c r="I18" s="19">
        <v>0</v>
      </c>
      <c r="J18" s="19">
        <v>0</v>
      </c>
      <c r="K18" s="19">
        <v>1</v>
      </c>
      <c r="L18" s="19">
        <v>0</v>
      </c>
      <c r="M18" s="19">
        <v>1</v>
      </c>
      <c r="N18" s="19">
        <v>0</v>
      </c>
      <c r="O18" s="19">
        <v>0</v>
      </c>
      <c r="P18" s="19">
        <v>1</v>
      </c>
      <c r="Q18" s="19">
        <v>0</v>
      </c>
      <c r="R18" s="19">
        <v>1</v>
      </c>
      <c r="S18" s="19">
        <v>1</v>
      </c>
      <c r="T18" s="19">
        <v>0</v>
      </c>
      <c r="U18" s="19">
        <v>0</v>
      </c>
      <c r="V18" s="19">
        <v>13901</v>
      </c>
    </row>
    <row r="19" spans="1:22">
      <c r="A19" s="2" t="s">
        <v>39</v>
      </c>
      <c r="B19" s="2">
        <v>-250</v>
      </c>
      <c r="C19" s="19">
        <v>0</v>
      </c>
      <c r="D19" s="19">
        <v>0</v>
      </c>
      <c r="E19" s="19">
        <v>0</v>
      </c>
      <c r="F19" s="19">
        <v>1</v>
      </c>
      <c r="G19" s="19">
        <v>0</v>
      </c>
      <c r="H19" s="19">
        <v>0</v>
      </c>
      <c r="I19" s="19">
        <v>1</v>
      </c>
      <c r="J19" s="19">
        <v>0</v>
      </c>
      <c r="K19" s="19">
        <v>1</v>
      </c>
      <c r="L19" s="19">
        <v>0</v>
      </c>
      <c r="M19" s="19">
        <v>1</v>
      </c>
      <c r="N19" s="19">
        <v>1</v>
      </c>
      <c r="O19" s="19">
        <v>0</v>
      </c>
      <c r="P19" s="19">
        <v>1</v>
      </c>
      <c r="Q19" s="19">
        <v>1</v>
      </c>
      <c r="R19" s="19">
        <v>0</v>
      </c>
      <c r="S19" s="19">
        <v>1</v>
      </c>
      <c r="T19" s="19">
        <v>0</v>
      </c>
      <c r="U19" s="19">
        <v>1</v>
      </c>
      <c r="V19" s="19">
        <v>10901</v>
      </c>
    </row>
    <row r="20" spans="1:22">
      <c r="A20" s="2" t="s">
        <v>40</v>
      </c>
      <c r="B20" s="2">
        <v>75</v>
      </c>
      <c r="C20" s="19">
        <v>1</v>
      </c>
      <c r="D20" s="19">
        <v>1</v>
      </c>
      <c r="E20" s="19">
        <v>1</v>
      </c>
      <c r="F20" s="19">
        <v>0</v>
      </c>
      <c r="G20" s="19">
        <v>0</v>
      </c>
      <c r="H20" s="19">
        <v>1</v>
      </c>
      <c r="I20" s="19">
        <v>1</v>
      </c>
      <c r="J20" s="19">
        <v>0</v>
      </c>
      <c r="K20" s="19">
        <v>0</v>
      </c>
      <c r="L20" s="19">
        <v>0</v>
      </c>
      <c r="M20" s="19">
        <v>1</v>
      </c>
      <c r="N20" s="19">
        <v>1</v>
      </c>
      <c r="O20" s="19">
        <v>0</v>
      </c>
      <c r="P20" s="19">
        <v>0</v>
      </c>
      <c r="Q20" s="19">
        <v>0</v>
      </c>
      <c r="R20" s="19">
        <v>1</v>
      </c>
      <c r="S20" s="19">
        <v>0</v>
      </c>
      <c r="T20" s="19">
        <v>1</v>
      </c>
      <c r="U20" s="19">
        <v>0</v>
      </c>
      <c r="V20" s="19">
        <v>14901</v>
      </c>
    </row>
    <row r="21" spans="1:22">
      <c r="A21" s="2" t="s">
        <v>41</v>
      </c>
      <c r="B21" s="2">
        <v>-600</v>
      </c>
      <c r="C21" s="19">
        <v>1</v>
      </c>
      <c r="D21" s="19">
        <v>0</v>
      </c>
      <c r="E21" s="19">
        <v>0</v>
      </c>
      <c r="F21" s="19">
        <v>1</v>
      </c>
      <c r="G21" s="19">
        <v>1</v>
      </c>
      <c r="H21" s="19">
        <v>1</v>
      </c>
      <c r="I21" s="19">
        <v>0</v>
      </c>
      <c r="J21" s="19">
        <v>0</v>
      </c>
      <c r="K21" s="19">
        <v>1</v>
      </c>
      <c r="L21" s="19">
        <v>0</v>
      </c>
      <c r="M21" s="19">
        <v>0</v>
      </c>
      <c r="N21" s="19">
        <v>0</v>
      </c>
      <c r="O21" s="19">
        <v>0</v>
      </c>
      <c r="P21" s="19">
        <v>1</v>
      </c>
      <c r="Q21" s="19">
        <v>0</v>
      </c>
      <c r="R21" s="19">
        <v>1</v>
      </c>
      <c r="S21" s="19">
        <v>0</v>
      </c>
      <c r="T21" s="19">
        <v>0</v>
      </c>
      <c r="U21" s="19">
        <v>1</v>
      </c>
      <c r="V21" s="19">
        <v>12901</v>
      </c>
    </row>
    <row r="22" spans="1:22">
      <c r="A22" s="2" t="s">
        <v>42</v>
      </c>
      <c r="B22" s="2">
        <v>1425</v>
      </c>
      <c r="C22" s="19">
        <v>1</v>
      </c>
      <c r="D22" s="19">
        <v>1</v>
      </c>
      <c r="E22" s="19">
        <v>1</v>
      </c>
      <c r="F22" s="19">
        <v>0</v>
      </c>
      <c r="G22" s="19">
        <v>0</v>
      </c>
      <c r="H22" s="19">
        <v>0</v>
      </c>
      <c r="I22" s="19">
        <v>1</v>
      </c>
      <c r="J22" s="19">
        <v>0</v>
      </c>
      <c r="K22" s="19">
        <v>0</v>
      </c>
      <c r="L22" s="19">
        <v>0</v>
      </c>
      <c r="M22" s="19">
        <v>1</v>
      </c>
      <c r="N22" s="19">
        <v>0</v>
      </c>
      <c r="O22" s="19">
        <v>1</v>
      </c>
      <c r="P22" s="19">
        <v>1</v>
      </c>
      <c r="Q22" s="19">
        <v>0</v>
      </c>
      <c r="R22" s="19">
        <v>1</v>
      </c>
      <c r="S22" s="19">
        <v>0</v>
      </c>
      <c r="T22" s="19">
        <v>1</v>
      </c>
      <c r="U22" s="19">
        <v>0</v>
      </c>
      <c r="V22" s="19">
        <v>12901</v>
      </c>
    </row>
    <row r="23" spans="1:22">
      <c r="A23" s="2" t="s">
        <v>43</v>
      </c>
      <c r="B23" s="2">
        <v>-175</v>
      </c>
      <c r="C23" s="19">
        <v>1</v>
      </c>
      <c r="D23" s="19">
        <v>0</v>
      </c>
      <c r="E23" s="19">
        <v>1</v>
      </c>
      <c r="F23" s="19">
        <v>0</v>
      </c>
      <c r="G23" s="19">
        <v>1</v>
      </c>
      <c r="H23" s="19">
        <v>0</v>
      </c>
      <c r="I23" s="19">
        <v>1</v>
      </c>
      <c r="J23" s="19">
        <v>0</v>
      </c>
      <c r="K23" s="19">
        <v>1</v>
      </c>
      <c r="L23" s="19">
        <v>0</v>
      </c>
      <c r="M23" s="19">
        <v>0</v>
      </c>
      <c r="N23" s="19">
        <v>1</v>
      </c>
      <c r="O23" s="19">
        <v>1</v>
      </c>
      <c r="P23" s="19">
        <v>1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14901</v>
      </c>
    </row>
    <row r="24" s="1" customFormat="1" spans="1:22">
      <c r="A24" s="2" t="s">
        <v>44</v>
      </c>
      <c r="B24" s="2">
        <v>0</v>
      </c>
      <c r="C24" s="19">
        <v>1</v>
      </c>
      <c r="D24" s="19">
        <v>1</v>
      </c>
      <c r="E24" s="19">
        <v>1</v>
      </c>
      <c r="F24" s="19">
        <v>0</v>
      </c>
      <c r="G24" s="19">
        <v>1</v>
      </c>
      <c r="H24" s="19">
        <v>0</v>
      </c>
      <c r="I24" s="19">
        <v>1</v>
      </c>
      <c r="J24" s="19">
        <v>0</v>
      </c>
      <c r="K24" s="19">
        <v>1</v>
      </c>
      <c r="L24" s="19">
        <v>0</v>
      </c>
      <c r="M24" s="19">
        <v>0</v>
      </c>
      <c r="N24" s="19">
        <v>1</v>
      </c>
      <c r="O24" s="19">
        <v>0</v>
      </c>
      <c r="P24" s="19">
        <v>0</v>
      </c>
      <c r="Q24" s="19">
        <v>0</v>
      </c>
      <c r="R24" s="19">
        <v>1</v>
      </c>
      <c r="S24" s="19">
        <v>0</v>
      </c>
      <c r="T24" s="19">
        <v>0</v>
      </c>
      <c r="U24" s="19">
        <v>1</v>
      </c>
      <c r="V24" s="19">
        <v>16901</v>
      </c>
    </row>
    <row r="25" spans="1:22">
      <c r="A25" s="2" t="s">
        <v>45</v>
      </c>
      <c r="B25" s="2">
        <v>375</v>
      </c>
      <c r="C25" s="19">
        <v>1</v>
      </c>
      <c r="D25" s="19">
        <v>0</v>
      </c>
      <c r="E25" s="19">
        <v>1</v>
      </c>
      <c r="F25" s="19">
        <v>1</v>
      </c>
      <c r="G25" s="19">
        <v>1</v>
      </c>
      <c r="H25" s="19">
        <v>1</v>
      </c>
      <c r="I25" s="19">
        <v>1</v>
      </c>
      <c r="J25" s="19">
        <v>0</v>
      </c>
      <c r="K25" s="19">
        <v>1</v>
      </c>
      <c r="L25" s="19">
        <v>0</v>
      </c>
      <c r="M25" s="19">
        <v>0</v>
      </c>
      <c r="N25" s="19">
        <v>0</v>
      </c>
      <c r="O25" s="19">
        <v>1</v>
      </c>
      <c r="P25" s="19">
        <v>0</v>
      </c>
      <c r="Q25" s="19">
        <v>0</v>
      </c>
      <c r="R25" s="19">
        <v>1</v>
      </c>
      <c r="S25" s="19">
        <v>0</v>
      </c>
      <c r="T25" s="19">
        <v>0</v>
      </c>
      <c r="U25" s="19">
        <v>0</v>
      </c>
      <c r="V25" s="19">
        <v>15901</v>
      </c>
    </row>
    <row r="26" spans="1:22">
      <c r="A26" s="2" t="s">
        <v>46</v>
      </c>
      <c r="B26" s="2">
        <v>425</v>
      </c>
      <c r="C26" s="19">
        <v>1</v>
      </c>
      <c r="D26" s="19">
        <v>0</v>
      </c>
      <c r="E26" s="19">
        <v>0</v>
      </c>
      <c r="F26" s="19">
        <v>1</v>
      </c>
      <c r="G26" s="19">
        <v>1</v>
      </c>
      <c r="H26" s="19">
        <v>0</v>
      </c>
      <c r="I26" s="19">
        <v>1</v>
      </c>
      <c r="J26" s="19">
        <v>0</v>
      </c>
      <c r="K26" s="19">
        <v>0</v>
      </c>
      <c r="L26" s="19">
        <v>0</v>
      </c>
      <c r="M26" s="19">
        <v>1</v>
      </c>
      <c r="N26" s="19">
        <v>0</v>
      </c>
      <c r="O26" s="19">
        <v>1</v>
      </c>
      <c r="P26" s="19">
        <v>0</v>
      </c>
      <c r="Q26" s="19">
        <v>0</v>
      </c>
      <c r="R26" s="19">
        <v>1</v>
      </c>
      <c r="S26" s="19">
        <v>1</v>
      </c>
      <c r="T26" s="19">
        <v>0</v>
      </c>
      <c r="U26" s="19">
        <v>1</v>
      </c>
      <c r="V26" s="19">
        <v>12401</v>
      </c>
    </row>
    <row r="27" spans="1:22">
      <c r="A27" s="2" t="s">
        <v>47</v>
      </c>
      <c r="B27" s="2">
        <v>-800</v>
      </c>
      <c r="C27" s="19">
        <v>1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1</v>
      </c>
      <c r="O27" s="19">
        <v>1</v>
      </c>
      <c r="P27" s="19">
        <v>1</v>
      </c>
      <c r="Q27" s="19">
        <v>1</v>
      </c>
      <c r="R27" s="19">
        <v>0</v>
      </c>
      <c r="S27" s="19">
        <v>1</v>
      </c>
      <c r="T27" s="19">
        <v>1</v>
      </c>
      <c r="U27" s="19">
        <v>1</v>
      </c>
      <c r="V27" s="19">
        <v>9401</v>
      </c>
    </row>
    <row r="28" spans="1:22">
      <c r="A28" s="2" t="s">
        <v>48</v>
      </c>
      <c r="B28" s="2">
        <v>1600</v>
      </c>
      <c r="C28" s="19">
        <v>1</v>
      </c>
      <c r="D28" s="19">
        <v>0</v>
      </c>
      <c r="E28" s="19">
        <v>1</v>
      </c>
      <c r="F28" s="19">
        <v>1</v>
      </c>
      <c r="G28" s="19">
        <v>1</v>
      </c>
      <c r="H28" s="19">
        <v>1</v>
      </c>
      <c r="I28" s="19">
        <v>1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1</v>
      </c>
      <c r="Q28" s="19">
        <v>1</v>
      </c>
      <c r="R28" s="19">
        <v>0</v>
      </c>
      <c r="S28" s="19">
        <v>1</v>
      </c>
      <c r="T28" s="19">
        <v>1</v>
      </c>
      <c r="U28" s="19">
        <v>0</v>
      </c>
      <c r="V28" s="19">
        <v>15901</v>
      </c>
    </row>
    <row r="29" spans="1:22">
      <c r="A29" s="2" t="s">
        <v>49</v>
      </c>
      <c r="B29" s="2">
        <v>100</v>
      </c>
      <c r="C29" s="19">
        <v>1</v>
      </c>
      <c r="D29" s="19">
        <v>0</v>
      </c>
      <c r="E29" s="19">
        <v>1</v>
      </c>
      <c r="F29" s="19">
        <v>1</v>
      </c>
      <c r="G29" s="19">
        <v>0</v>
      </c>
      <c r="H29" s="19">
        <v>0</v>
      </c>
      <c r="I29" s="19">
        <v>1</v>
      </c>
      <c r="J29" s="19">
        <v>0</v>
      </c>
      <c r="K29" s="19">
        <v>1</v>
      </c>
      <c r="L29" s="19">
        <v>0</v>
      </c>
      <c r="M29" s="19">
        <v>0</v>
      </c>
      <c r="N29" s="19">
        <v>0</v>
      </c>
      <c r="O29" s="19">
        <v>1</v>
      </c>
      <c r="P29" s="19">
        <v>0</v>
      </c>
      <c r="Q29" s="19">
        <v>1</v>
      </c>
      <c r="R29" s="19">
        <v>1</v>
      </c>
      <c r="S29" s="19">
        <v>0</v>
      </c>
      <c r="T29" s="19">
        <v>0</v>
      </c>
      <c r="U29" s="19">
        <v>1</v>
      </c>
      <c r="V29" s="19">
        <v>11401</v>
      </c>
    </row>
    <row r="30" spans="1:22">
      <c r="A30" s="2" t="s">
        <v>50</v>
      </c>
      <c r="B30" s="2">
        <v>-400</v>
      </c>
      <c r="C30" s="19">
        <v>1</v>
      </c>
      <c r="D30" s="19">
        <v>1</v>
      </c>
      <c r="E30" s="19">
        <v>0</v>
      </c>
      <c r="F30" s="19">
        <v>1</v>
      </c>
      <c r="G30" s="19">
        <v>1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1</v>
      </c>
      <c r="O30" s="19">
        <v>1</v>
      </c>
      <c r="P30" s="19">
        <v>1</v>
      </c>
      <c r="Q30" s="19">
        <v>1</v>
      </c>
      <c r="R30" s="19">
        <v>0</v>
      </c>
      <c r="S30" s="19">
        <v>1</v>
      </c>
      <c r="T30" s="19">
        <v>1</v>
      </c>
      <c r="U30" s="19">
        <v>0</v>
      </c>
      <c r="V30" s="19">
        <v>14901</v>
      </c>
    </row>
    <row r="31" spans="1:22">
      <c r="A31" s="2" t="s">
        <v>51</v>
      </c>
      <c r="B31" s="2">
        <v>-1325</v>
      </c>
      <c r="C31" s="19">
        <v>1</v>
      </c>
      <c r="D31" s="19">
        <v>1</v>
      </c>
      <c r="E31" s="19">
        <v>0</v>
      </c>
      <c r="F31" s="19">
        <v>1</v>
      </c>
      <c r="G31" s="19">
        <v>0</v>
      </c>
      <c r="H31" s="19">
        <v>1</v>
      </c>
      <c r="I31" s="19">
        <v>0</v>
      </c>
      <c r="J31" s="19">
        <v>0</v>
      </c>
      <c r="K31" s="19">
        <v>1</v>
      </c>
      <c r="L31" s="19">
        <v>0</v>
      </c>
      <c r="M31" s="19">
        <v>1</v>
      </c>
      <c r="N31" s="19">
        <v>1</v>
      </c>
      <c r="O31" s="19">
        <v>0</v>
      </c>
      <c r="P31" s="19">
        <v>0</v>
      </c>
      <c r="Q31" s="19">
        <v>1</v>
      </c>
      <c r="R31" s="19">
        <v>1</v>
      </c>
      <c r="S31" s="19">
        <v>0</v>
      </c>
      <c r="T31" s="19">
        <v>0</v>
      </c>
      <c r="U31" s="19">
        <v>1</v>
      </c>
      <c r="V31" s="19">
        <v>13401</v>
      </c>
    </row>
    <row r="32" spans="1:22">
      <c r="A32" s="2" t="s">
        <v>52</v>
      </c>
      <c r="B32" s="2">
        <v>-350</v>
      </c>
      <c r="C32" s="19">
        <v>1</v>
      </c>
      <c r="D32" s="19">
        <v>0</v>
      </c>
      <c r="E32" s="19">
        <v>0</v>
      </c>
      <c r="F32" s="19">
        <v>1</v>
      </c>
      <c r="G32" s="19">
        <v>0</v>
      </c>
      <c r="H32" s="19">
        <v>0</v>
      </c>
      <c r="I32" s="19">
        <v>1</v>
      </c>
      <c r="J32" s="19">
        <v>0</v>
      </c>
      <c r="K32" s="19">
        <v>0</v>
      </c>
      <c r="L32" s="19">
        <v>0</v>
      </c>
      <c r="M32" s="19">
        <v>1</v>
      </c>
      <c r="N32" s="19">
        <v>1</v>
      </c>
      <c r="O32" s="19">
        <v>1</v>
      </c>
      <c r="P32" s="19">
        <v>1</v>
      </c>
      <c r="Q32" s="19">
        <v>0</v>
      </c>
      <c r="R32" s="19">
        <v>0</v>
      </c>
      <c r="S32" s="19">
        <v>0</v>
      </c>
      <c r="T32" s="19">
        <v>1</v>
      </c>
      <c r="U32" s="19">
        <v>1</v>
      </c>
      <c r="V32" s="19">
        <v>10901</v>
      </c>
    </row>
    <row r="33" spans="1:22">
      <c r="A33" s="2" t="s">
        <v>53</v>
      </c>
      <c r="B33" s="2">
        <v>1175</v>
      </c>
      <c r="C33" s="19">
        <v>1</v>
      </c>
      <c r="D33" s="19">
        <v>1</v>
      </c>
      <c r="E33" s="19">
        <v>1</v>
      </c>
      <c r="F33" s="19">
        <v>1</v>
      </c>
      <c r="G33" s="19">
        <v>1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1</v>
      </c>
      <c r="N33" s="19">
        <v>0</v>
      </c>
      <c r="O33" s="19">
        <v>0</v>
      </c>
      <c r="P33" s="19">
        <v>1</v>
      </c>
      <c r="Q33" s="19">
        <v>0</v>
      </c>
      <c r="R33" s="19">
        <v>1</v>
      </c>
      <c r="S33" s="19">
        <v>1</v>
      </c>
      <c r="T33" s="19">
        <v>0</v>
      </c>
      <c r="U33" s="19">
        <v>1</v>
      </c>
      <c r="V33" s="19">
        <v>16401</v>
      </c>
    </row>
    <row r="34" spans="1:22">
      <c r="A34" s="2" t="s">
        <v>54</v>
      </c>
      <c r="B34" s="2">
        <v>550</v>
      </c>
      <c r="C34" s="19">
        <v>1</v>
      </c>
      <c r="D34" s="19">
        <v>1</v>
      </c>
      <c r="E34" s="19">
        <v>0</v>
      </c>
      <c r="F34" s="19">
        <v>1</v>
      </c>
      <c r="G34" s="19">
        <v>1</v>
      </c>
      <c r="H34" s="19">
        <v>0</v>
      </c>
      <c r="I34" s="19">
        <v>0</v>
      </c>
      <c r="J34" s="19">
        <v>0</v>
      </c>
      <c r="K34" s="19">
        <v>1</v>
      </c>
      <c r="L34" s="19">
        <v>0</v>
      </c>
      <c r="M34" s="19">
        <v>1</v>
      </c>
      <c r="N34" s="19">
        <v>0</v>
      </c>
      <c r="O34" s="19">
        <v>1</v>
      </c>
      <c r="P34" s="19">
        <v>1</v>
      </c>
      <c r="Q34" s="19">
        <v>1</v>
      </c>
      <c r="R34" s="19">
        <v>0</v>
      </c>
      <c r="S34" s="19">
        <v>1</v>
      </c>
      <c r="T34" s="19">
        <v>0</v>
      </c>
      <c r="U34" s="19">
        <v>0</v>
      </c>
      <c r="V34" s="19">
        <v>14401</v>
      </c>
    </row>
    <row r="35" spans="1:22">
      <c r="A35" s="2" t="s">
        <v>55</v>
      </c>
      <c r="B35" s="2">
        <v>425</v>
      </c>
      <c r="C35" s="19">
        <v>1</v>
      </c>
      <c r="D35" s="19">
        <v>1</v>
      </c>
      <c r="E35" s="19">
        <v>1</v>
      </c>
      <c r="F35" s="19">
        <v>0</v>
      </c>
      <c r="G35" s="19">
        <v>0</v>
      </c>
      <c r="H35" s="19">
        <v>1</v>
      </c>
      <c r="I35" s="19">
        <v>1</v>
      </c>
      <c r="J35" s="19">
        <v>0</v>
      </c>
      <c r="K35" s="19">
        <v>0</v>
      </c>
      <c r="L35" s="19">
        <v>0</v>
      </c>
      <c r="M35" s="19">
        <v>1</v>
      </c>
      <c r="N35" s="19">
        <v>0</v>
      </c>
      <c r="O35" s="19">
        <v>1</v>
      </c>
      <c r="P35" s="19">
        <v>0</v>
      </c>
      <c r="Q35" s="19">
        <v>1</v>
      </c>
      <c r="R35" s="19">
        <v>1</v>
      </c>
      <c r="S35" s="19">
        <v>0</v>
      </c>
      <c r="T35" s="19">
        <v>1</v>
      </c>
      <c r="U35" s="19">
        <v>0</v>
      </c>
      <c r="V35" s="19">
        <v>13901</v>
      </c>
    </row>
    <row r="36" spans="1:22">
      <c r="A36" s="2" t="s">
        <v>56</v>
      </c>
      <c r="B36" s="2">
        <v>-150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1</v>
      </c>
      <c r="O36" s="19">
        <v>0</v>
      </c>
      <c r="P36" s="19">
        <v>1</v>
      </c>
      <c r="Q36" s="19">
        <v>0</v>
      </c>
      <c r="R36" s="19">
        <v>0</v>
      </c>
      <c r="S36" s="19">
        <v>1</v>
      </c>
      <c r="T36" s="19">
        <v>0</v>
      </c>
      <c r="U36" s="19">
        <v>1</v>
      </c>
      <c r="V36" s="19">
        <v>18401</v>
      </c>
    </row>
    <row r="37" spans="1:22">
      <c r="A37" s="2" t="s">
        <v>57</v>
      </c>
      <c r="B37" s="2">
        <v>-400</v>
      </c>
      <c r="C37" s="19">
        <v>1</v>
      </c>
      <c r="D37" s="19">
        <v>0</v>
      </c>
      <c r="E37" s="19">
        <v>1</v>
      </c>
      <c r="F37" s="19">
        <v>1</v>
      </c>
      <c r="G37" s="19">
        <v>0</v>
      </c>
      <c r="H37" s="19">
        <v>1</v>
      </c>
      <c r="I37" s="19">
        <v>0</v>
      </c>
      <c r="J37" s="19">
        <v>0</v>
      </c>
      <c r="K37" s="19">
        <v>1</v>
      </c>
      <c r="L37" s="19">
        <v>0</v>
      </c>
      <c r="M37" s="19">
        <v>0</v>
      </c>
      <c r="N37" s="19">
        <v>1</v>
      </c>
      <c r="O37" s="19">
        <v>0</v>
      </c>
      <c r="P37" s="19">
        <v>0</v>
      </c>
      <c r="Q37" s="19">
        <v>1</v>
      </c>
      <c r="R37" s="19">
        <v>1</v>
      </c>
      <c r="S37" s="19">
        <v>1</v>
      </c>
      <c r="T37" s="19">
        <v>0</v>
      </c>
      <c r="U37" s="19">
        <v>0</v>
      </c>
      <c r="V37" s="19">
        <v>13901</v>
      </c>
    </row>
    <row r="38" spans="1:22">
      <c r="A38" s="2" t="s">
        <v>58</v>
      </c>
      <c r="B38" s="2">
        <v>-150</v>
      </c>
      <c r="C38" s="19">
        <v>1</v>
      </c>
      <c r="D38" s="19">
        <v>0</v>
      </c>
      <c r="E38" s="19">
        <v>0</v>
      </c>
      <c r="F38" s="19">
        <v>1</v>
      </c>
      <c r="G38" s="19">
        <v>1</v>
      </c>
      <c r="H38" s="19">
        <v>1</v>
      </c>
      <c r="I38" s="19">
        <v>0</v>
      </c>
      <c r="J38" s="19">
        <v>0</v>
      </c>
      <c r="K38" s="19">
        <v>1</v>
      </c>
      <c r="L38" s="19">
        <v>0</v>
      </c>
      <c r="M38" s="19">
        <v>1</v>
      </c>
      <c r="N38" s="19">
        <v>0</v>
      </c>
      <c r="O38" s="19">
        <v>0</v>
      </c>
      <c r="P38" s="19">
        <v>1</v>
      </c>
      <c r="Q38" s="19">
        <v>1</v>
      </c>
      <c r="R38" s="19">
        <v>0</v>
      </c>
      <c r="S38" s="19">
        <v>0</v>
      </c>
      <c r="T38" s="19">
        <v>0</v>
      </c>
      <c r="U38" s="19">
        <v>1</v>
      </c>
      <c r="V38" s="19">
        <v>12901</v>
      </c>
    </row>
    <row r="39" spans="1:22">
      <c r="A39" s="2" t="s">
        <v>59</v>
      </c>
      <c r="B39" s="2">
        <v>1000</v>
      </c>
      <c r="C39" s="19">
        <v>1</v>
      </c>
      <c r="D39" s="19">
        <v>0</v>
      </c>
      <c r="E39" s="19">
        <v>1</v>
      </c>
      <c r="F39" s="19">
        <v>1</v>
      </c>
      <c r="G39" s="19">
        <v>1</v>
      </c>
      <c r="H39" s="19">
        <v>1</v>
      </c>
      <c r="I39" s="19">
        <v>0</v>
      </c>
      <c r="J39" s="19">
        <v>0</v>
      </c>
      <c r="K39" s="19">
        <v>1</v>
      </c>
      <c r="L39" s="19">
        <v>0</v>
      </c>
      <c r="M39" s="19">
        <v>1</v>
      </c>
      <c r="N39" s="19">
        <v>0</v>
      </c>
      <c r="O39" s="19">
        <v>0</v>
      </c>
      <c r="P39" s="19">
        <v>0</v>
      </c>
      <c r="Q39" s="19">
        <v>0</v>
      </c>
      <c r="R39" s="19">
        <v>1</v>
      </c>
      <c r="S39" s="19">
        <v>1</v>
      </c>
      <c r="T39" s="19">
        <v>1</v>
      </c>
      <c r="U39" s="19">
        <v>0</v>
      </c>
      <c r="V39" s="19">
        <v>17901</v>
      </c>
    </row>
    <row r="40" spans="1:22">
      <c r="A40" s="2" t="s">
        <v>60</v>
      </c>
      <c r="B40" s="2">
        <v>-1050</v>
      </c>
      <c r="C40" s="19">
        <v>0</v>
      </c>
      <c r="D40" s="19">
        <v>0</v>
      </c>
      <c r="E40" s="19">
        <v>1</v>
      </c>
      <c r="F40" s="19">
        <v>1</v>
      </c>
      <c r="G40" s="19">
        <v>1</v>
      </c>
      <c r="H40" s="19">
        <v>1</v>
      </c>
      <c r="I40" s="19">
        <v>0</v>
      </c>
      <c r="J40" s="19">
        <v>0</v>
      </c>
      <c r="K40" s="19">
        <v>1</v>
      </c>
      <c r="L40" s="19">
        <v>0</v>
      </c>
      <c r="M40" s="19">
        <v>0</v>
      </c>
      <c r="N40" s="19">
        <v>1</v>
      </c>
      <c r="O40" s="19">
        <v>1</v>
      </c>
      <c r="P40" s="19">
        <v>0</v>
      </c>
      <c r="Q40" s="19">
        <v>0</v>
      </c>
      <c r="R40" s="19">
        <v>0</v>
      </c>
      <c r="S40" s="19">
        <v>1</v>
      </c>
      <c r="T40" s="19">
        <v>0</v>
      </c>
      <c r="U40" s="19">
        <v>1</v>
      </c>
      <c r="V40" s="19">
        <v>17401</v>
      </c>
    </row>
    <row r="41" spans="1:22">
      <c r="A41" s="2" t="s">
        <v>61</v>
      </c>
      <c r="B41" s="2">
        <v>425</v>
      </c>
      <c r="C41" s="19">
        <v>0</v>
      </c>
      <c r="D41" s="19">
        <v>1</v>
      </c>
      <c r="E41" s="19">
        <v>1</v>
      </c>
      <c r="F41" s="19">
        <v>1</v>
      </c>
      <c r="G41" s="19">
        <v>1</v>
      </c>
      <c r="H41" s="19">
        <v>1</v>
      </c>
      <c r="I41" s="19">
        <v>0</v>
      </c>
      <c r="J41" s="19">
        <v>0</v>
      </c>
      <c r="K41" s="19">
        <v>0</v>
      </c>
      <c r="L41" s="19">
        <v>0</v>
      </c>
      <c r="M41" s="19">
        <v>1</v>
      </c>
      <c r="N41" s="19">
        <v>0</v>
      </c>
      <c r="O41" s="19">
        <v>0</v>
      </c>
      <c r="P41" s="19">
        <v>0</v>
      </c>
      <c r="Q41" s="19">
        <v>1</v>
      </c>
      <c r="R41" s="19">
        <v>1</v>
      </c>
      <c r="S41" s="19">
        <v>0</v>
      </c>
      <c r="T41" s="19">
        <v>1</v>
      </c>
      <c r="U41" s="19">
        <v>1</v>
      </c>
      <c r="V41" s="19">
        <v>16401</v>
      </c>
    </row>
    <row r="42" spans="1:22">
      <c r="A42" s="2" t="s">
        <v>62</v>
      </c>
      <c r="B42" s="2">
        <v>775</v>
      </c>
      <c r="C42" s="19">
        <v>1</v>
      </c>
      <c r="D42" s="19">
        <v>0</v>
      </c>
      <c r="E42" s="19">
        <v>0</v>
      </c>
      <c r="F42" s="19">
        <v>1</v>
      </c>
      <c r="G42" s="19">
        <v>0</v>
      </c>
      <c r="H42" s="19">
        <v>1</v>
      </c>
      <c r="I42" s="19">
        <v>1</v>
      </c>
      <c r="J42" s="19">
        <v>0</v>
      </c>
      <c r="K42" s="19">
        <v>0</v>
      </c>
      <c r="L42" s="19">
        <v>0</v>
      </c>
      <c r="M42" s="19">
        <v>1</v>
      </c>
      <c r="N42" s="19">
        <v>0</v>
      </c>
      <c r="O42" s="19">
        <v>0</v>
      </c>
      <c r="P42" s="19">
        <v>1</v>
      </c>
      <c r="Q42" s="19">
        <v>1</v>
      </c>
      <c r="R42" s="19">
        <v>1</v>
      </c>
      <c r="S42" s="19">
        <v>0</v>
      </c>
      <c r="T42" s="19">
        <v>1</v>
      </c>
      <c r="U42" s="19">
        <v>0</v>
      </c>
      <c r="V42" s="19">
        <v>9901</v>
      </c>
    </row>
    <row r="43" spans="1:22">
      <c r="A43" s="2" t="s">
        <v>63</v>
      </c>
      <c r="B43" s="2">
        <v>-325</v>
      </c>
      <c r="C43" s="19">
        <v>1</v>
      </c>
      <c r="D43" s="19">
        <v>1</v>
      </c>
      <c r="E43" s="19">
        <v>0</v>
      </c>
      <c r="F43" s="19">
        <v>1</v>
      </c>
      <c r="G43" s="19">
        <v>1</v>
      </c>
      <c r="H43" s="19">
        <v>0</v>
      </c>
      <c r="I43" s="19">
        <v>0</v>
      </c>
      <c r="J43" s="19">
        <v>0</v>
      </c>
      <c r="K43" s="19">
        <v>1</v>
      </c>
      <c r="L43" s="19">
        <v>0</v>
      </c>
      <c r="M43" s="19">
        <v>1</v>
      </c>
      <c r="N43" s="19">
        <v>1</v>
      </c>
      <c r="O43" s="19">
        <v>1</v>
      </c>
      <c r="P43" s="19">
        <v>0</v>
      </c>
      <c r="Q43" s="19">
        <v>0</v>
      </c>
      <c r="R43" s="19">
        <v>0</v>
      </c>
      <c r="S43" s="19">
        <v>1</v>
      </c>
      <c r="T43" s="19">
        <v>0</v>
      </c>
      <c r="U43" s="19">
        <v>0</v>
      </c>
      <c r="V43" s="19">
        <v>15401</v>
      </c>
    </row>
    <row r="44" spans="1:22">
      <c r="A44" s="2" t="s">
        <v>64</v>
      </c>
      <c r="B44" s="2">
        <v>-1325</v>
      </c>
      <c r="C44" s="19">
        <v>1</v>
      </c>
      <c r="D44" s="19">
        <v>0</v>
      </c>
      <c r="E44" s="19">
        <v>1</v>
      </c>
      <c r="F44" s="19">
        <v>0</v>
      </c>
      <c r="G44" s="19">
        <v>0</v>
      </c>
      <c r="H44" s="19">
        <v>1</v>
      </c>
      <c r="I44" s="19">
        <v>1</v>
      </c>
      <c r="J44" s="19">
        <v>0</v>
      </c>
      <c r="K44" s="19">
        <v>1</v>
      </c>
      <c r="L44" s="19">
        <v>0</v>
      </c>
      <c r="M44" s="19">
        <v>1</v>
      </c>
      <c r="N44" s="19">
        <v>0</v>
      </c>
      <c r="O44" s="19">
        <v>0</v>
      </c>
      <c r="P44" s="19">
        <v>1</v>
      </c>
      <c r="Q44" s="19">
        <v>1</v>
      </c>
      <c r="R44" s="19">
        <v>0</v>
      </c>
      <c r="S44" s="19">
        <v>0</v>
      </c>
      <c r="T44" s="19">
        <v>0</v>
      </c>
      <c r="U44" s="19">
        <v>1</v>
      </c>
      <c r="V44" s="19">
        <v>12401</v>
      </c>
    </row>
    <row r="45" spans="1:22">
      <c r="A45" s="2" t="s">
        <v>65</v>
      </c>
      <c r="B45" s="2">
        <v>-1175</v>
      </c>
      <c r="C45" s="19">
        <v>1</v>
      </c>
      <c r="D45" s="19">
        <v>1</v>
      </c>
      <c r="E45" s="19">
        <v>1</v>
      </c>
      <c r="F45" s="19">
        <v>0</v>
      </c>
      <c r="G45" s="19">
        <v>0</v>
      </c>
      <c r="H45" s="19">
        <v>1</v>
      </c>
      <c r="I45" s="19">
        <v>0</v>
      </c>
      <c r="J45" s="19">
        <v>0</v>
      </c>
      <c r="K45" s="19">
        <v>1</v>
      </c>
      <c r="L45" s="19">
        <v>0</v>
      </c>
      <c r="M45" s="19">
        <v>0</v>
      </c>
      <c r="N45" s="19">
        <v>1</v>
      </c>
      <c r="O45" s="19">
        <v>1</v>
      </c>
      <c r="P45" s="19">
        <v>1</v>
      </c>
      <c r="Q45" s="19">
        <v>0</v>
      </c>
      <c r="R45" s="19">
        <v>1</v>
      </c>
      <c r="S45" s="19">
        <v>0</v>
      </c>
      <c r="T45" s="19">
        <v>0</v>
      </c>
      <c r="U45" s="19">
        <v>0</v>
      </c>
      <c r="V45" s="19">
        <v>15401</v>
      </c>
    </row>
    <row r="46" spans="1:22">
      <c r="A46" s="2" t="s">
        <v>66</v>
      </c>
      <c r="B46" s="2">
        <v>-1100</v>
      </c>
      <c r="C46" s="19">
        <v>1</v>
      </c>
      <c r="D46" s="19">
        <v>1</v>
      </c>
      <c r="E46" s="19">
        <v>0</v>
      </c>
      <c r="F46" s="19">
        <v>0</v>
      </c>
      <c r="G46" s="19">
        <v>0</v>
      </c>
      <c r="H46" s="19">
        <v>1</v>
      </c>
      <c r="I46" s="19">
        <v>1</v>
      </c>
      <c r="J46" s="19">
        <v>0</v>
      </c>
      <c r="K46" s="19">
        <v>1</v>
      </c>
      <c r="L46" s="19">
        <v>0</v>
      </c>
      <c r="M46" s="19">
        <v>0</v>
      </c>
      <c r="N46" s="19">
        <v>1</v>
      </c>
      <c r="O46" s="19">
        <v>1</v>
      </c>
      <c r="P46" s="19">
        <v>1</v>
      </c>
      <c r="Q46" s="19">
        <v>0</v>
      </c>
      <c r="R46" s="19">
        <v>0</v>
      </c>
      <c r="S46" s="19">
        <v>1</v>
      </c>
      <c r="T46" s="19">
        <v>0</v>
      </c>
      <c r="U46" s="19">
        <v>0</v>
      </c>
      <c r="V46" s="19">
        <v>13901</v>
      </c>
    </row>
    <row r="47" spans="1:22">
      <c r="A47" s="2" t="s">
        <v>67</v>
      </c>
      <c r="B47" s="2">
        <v>-725</v>
      </c>
      <c r="C47" s="19">
        <v>1</v>
      </c>
      <c r="D47" s="19">
        <v>0</v>
      </c>
      <c r="E47" s="19">
        <v>1</v>
      </c>
      <c r="F47" s="19">
        <v>1</v>
      </c>
      <c r="G47" s="19">
        <v>0</v>
      </c>
      <c r="H47" s="19">
        <v>1</v>
      </c>
      <c r="I47" s="19">
        <v>0</v>
      </c>
      <c r="J47" s="19">
        <v>0</v>
      </c>
      <c r="K47" s="19">
        <v>1</v>
      </c>
      <c r="L47" s="19">
        <v>0</v>
      </c>
      <c r="M47" s="19">
        <v>0</v>
      </c>
      <c r="N47" s="19">
        <v>1</v>
      </c>
      <c r="O47" s="19">
        <v>0</v>
      </c>
      <c r="P47" s="19">
        <v>0</v>
      </c>
      <c r="Q47" s="19">
        <v>1</v>
      </c>
      <c r="R47" s="19">
        <v>0</v>
      </c>
      <c r="S47" s="19">
        <v>1</v>
      </c>
      <c r="T47" s="19">
        <v>1</v>
      </c>
      <c r="U47" s="19">
        <v>1</v>
      </c>
      <c r="V47" s="19">
        <v>15401</v>
      </c>
    </row>
    <row r="48" spans="1:22">
      <c r="A48" s="2" t="s">
        <v>68</v>
      </c>
      <c r="B48" s="2">
        <v>1000</v>
      </c>
      <c r="C48" s="19">
        <v>1</v>
      </c>
      <c r="D48" s="19">
        <v>1</v>
      </c>
      <c r="E48" s="19">
        <v>0</v>
      </c>
      <c r="F48" s="19">
        <v>1</v>
      </c>
      <c r="G48" s="19">
        <v>1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1</v>
      </c>
      <c r="N48" s="19">
        <v>0</v>
      </c>
      <c r="O48" s="19">
        <v>1</v>
      </c>
      <c r="P48" s="19">
        <v>0</v>
      </c>
      <c r="Q48" s="19">
        <v>0</v>
      </c>
      <c r="R48" s="19">
        <v>0</v>
      </c>
      <c r="S48" s="19">
        <v>1</v>
      </c>
      <c r="T48" s="19">
        <v>1</v>
      </c>
      <c r="U48" s="19">
        <v>1</v>
      </c>
      <c r="V48" s="19">
        <v>13901</v>
      </c>
    </row>
    <row r="49" spans="1:22">
      <c r="A49" s="2" t="s">
        <v>69</v>
      </c>
      <c r="B49" s="2">
        <v>-325</v>
      </c>
      <c r="C49" s="19">
        <v>1</v>
      </c>
      <c r="D49" s="19">
        <v>1</v>
      </c>
      <c r="E49" s="19">
        <v>0</v>
      </c>
      <c r="F49" s="19">
        <v>0</v>
      </c>
      <c r="G49" s="19">
        <v>1</v>
      </c>
      <c r="H49" s="19">
        <v>0</v>
      </c>
      <c r="I49" s="19">
        <v>0</v>
      </c>
      <c r="J49" s="19">
        <v>0</v>
      </c>
      <c r="K49" s="19">
        <v>1</v>
      </c>
      <c r="L49" s="19">
        <v>0</v>
      </c>
      <c r="M49" s="19">
        <v>0</v>
      </c>
      <c r="N49" s="19">
        <v>1</v>
      </c>
      <c r="O49" s="19">
        <v>1</v>
      </c>
      <c r="P49" s="19">
        <v>0</v>
      </c>
      <c r="Q49" s="19">
        <v>1</v>
      </c>
      <c r="R49" s="19">
        <v>1</v>
      </c>
      <c r="S49" s="19">
        <v>0</v>
      </c>
      <c r="T49" s="19">
        <v>0</v>
      </c>
      <c r="U49" s="19">
        <v>0</v>
      </c>
      <c r="V49" s="19">
        <v>12901</v>
      </c>
    </row>
    <row r="50" spans="1:22">
      <c r="A50" s="2" t="s">
        <v>70</v>
      </c>
      <c r="B50" s="2">
        <v>825</v>
      </c>
      <c r="C50" s="19">
        <v>1</v>
      </c>
      <c r="D50" s="19">
        <v>1</v>
      </c>
      <c r="E50" s="19">
        <v>1</v>
      </c>
      <c r="F50" s="19">
        <v>0</v>
      </c>
      <c r="G50" s="19">
        <v>1</v>
      </c>
      <c r="H50" s="19">
        <v>0</v>
      </c>
      <c r="I50" s="19">
        <v>0</v>
      </c>
      <c r="J50" s="19">
        <v>0</v>
      </c>
      <c r="K50" s="19">
        <v>1</v>
      </c>
      <c r="L50" s="19">
        <v>0</v>
      </c>
      <c r="M50" s="19">
        <v>0</v>
      </c>
      <c r="N50" s="19">
        <v>0</v>
      </c>
      <c r="O50" s="19">
        <v>1</v>
      </c>
      <c r="P50" s="19">
        <v>0</v>
      </c>
      <c r="Q50" s="19">
        <v>1</v>
      </c>
      <c r="R50" s="19">
        <v>0</v>
      </c>
      <c r="S50" s="19">
        <v>1</v>
      </c>
      <c r="T50" s="19">
        <v>0</v>
      </c>
      <c r="U50" s="19">
        <v>0</v>
      </c>
      <c r="V50" s="19">
        <v>14401</v>
      </c>
    </row>
    <row r="51" spans="1:22">
      <c r="A51" s="2" t="s">
        <v>71</v>
      </c>
      <c r="B51" s="2">
        <v>1300</v>
      </c>
      <c r="C51" s="19">
        <v>1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1</v>
      </c>
      <c r="J51" s="19">
        <v>0</v>
      </c>
      <c r="K51" s="19">
        <v>1</v>
      </c>
      <c r="L51" s="19">
        <v>0</v>
      </c>
      <c r="M51" s="19">
        <v>1</v>
      </c>
      <c r="N51" s="19">
        <v>0</v>
      </c>
      <c r="O51" s="19">
        <v>0</v>
      </c>
      <c r="P51" s="19">
        <v>1</v>
      </c>
      <c r="Q51" s="19">
        <v>0</v>
      </c>
      <c r="R51" s="19">
        <v>1</v>
      </c>
      <c r="S51" s="19">
        <v>1</v>
      </c>
      <c r="T51" s="19">
        <v>1</v>
      </c>
      <c r="U51" s="19">
        <v>0</v>
      </c>
      <c r="V51" s="19">
        <v>10401</v>
      </c>
    </row>
    <row r="52" spans="1:22">
      <c r="A52" s="2" t="s">
        <v>72</v>
      </c>
      <c r="B52" s="2">
        <v>1450</v>
      </c>
      <c r="C52" s="19">
        <v>1</v>
      </c>
      <c r="D52" s="19">
        <v>0</v>
      </c>
      <c r="E52" s="19">
        <v>1</v>
      </c>
      <c r="F52" s="19">
        <v>1</v>
      </c>
      <c r="G52" s="19">
        <v>1</v>
      </c>
      <c r="H52" s="19">
        <v>0</v>
      </c>
      <c r="I52" s="19">
        <v>1</v>
      </c>
      <c r="J52" s="19">
        <v>0</v>
      </c>
      <c r="K52" s="19">
        <v>1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1</v>
      </c>
      <c r="S52" s="19">
        <v>1</v>
      </c>
      <c r="T52" s="19">
        <v>1</v>
      </c>
      <c r="U52" s="19">
        <v>0</v>
      </c>
      <c r="V52" s="19">
        <v>15901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4"/>
  <sheetViews>
    <sheetView tabSelected="1" workbookViewId="0">
      <selection activeCell="C5" sqref="C5"/>
    </sheetView>
  </sheetViews>
  <sheetFormatPr defaultColWidth="9" defaultRowHeight="13.5" outlineLevelRow="3" outlineLevelCol="2"/>
  <sheetData>
    <row r="2" spans="2:3">
      <c r="B2" s="17" t="s">
        <v>73</v>
      </c>
      <c r="C2" s="18">
        <v>1.71</v>
      </c>
    </row>
    <row r="3" spans="2:3">
      <c r="B3" s="17" t="s">
        <v>74</v>
      </c>
      <c r="C3" s="18">
        <v>60.51</v>
      </c>
    </row>
    <row r="4" spans="2:3">
      <c r="B4" s="17" t="s">
        <v>75</v>
      </c>
      <c r="C4" s="18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zoomScale="130" zoomScaleNormal="130" workbookViewId="0">
      <selection activeCell="B13" sqref="B13"/>
    </sheetView>
  </sheetViews>
  <sheetFormatPr defaultColWidth="12.975" defaultRowHeight="13.5"/>
  <cols>
    <col min="1" max="16383" width="12.975" style="14" customWidth="1"/>
    <col min="16384" max="16384" width="12.975" style="11" customWidth="1"/>
  </cols>
  <sheetData>
    <row r="1" s="14" customFormat="1" spans="2:7">
      <c r="B1" s="14" t="s">
        <v>76</v>
      </c>
      <c r="C1" s="14">
        <v>1</v>
      </c>
      <c r="D1" s="14">
        <v>2</v>
      </c>
      <c r="E1" s="14">
        <v>3</v>
      </c>
      <c r="F1" s="14">
        <v>4</v>
      </c>
      <c r="G1" s="14">
        <v>5</v>
      </c>
    </row>
    <row r="2" s="14" customFormat="1" spans="1:7">
      <c r="A2" s="14" t="s">
        <v>77</v>
      </c>
      <c r="B2" s="14" t="s">
        <v>78</v>
      </c>
      <c r="C2" s="14">
        <v>102</v>
      </c>
      <c r="D2" s="14">
        <v>101</v>
      </c>
      <c r="E2" s="14">
        <v>104</v>
      </c>
      <c r="F2" s="14">
        <v>107</v>
      </c>
      <c r="G2" s="14">
        <v>131</v>
      </c>
    </row>
    <row r="3" s="14" customFormat="1" hidden="1" spans="1:7">
      <c r="A3" s="14" t="s">
        <v>79</v>
      </c>
      <c r="C3" s="14">
        <v>65</v>
      </c>
      <c r="D3" s="14">
        <v>110</v>
      </c>
      <c r="E3" s="14">
        <v>83</v>
      </c>
      <c r="F3" s="14">
        <v>109</v>
      </c>
      <c r="G3" s="14">
        <v>124</v>
      </c>
    </row>
    <row r="4" s="14" customFormat="1" hidden="1" spans="1:7">
      <c r="A4" s="14" t="s">
        <v>80</v>
      </c>
      <c r="C4" s="14">
        <v>60</v>
      </c>
      <c r="D4" s="14">
        <v>72</v>
      </c>
      <c r="E4" s="14">
        <v>39</v>
      </c>
      <c r="F4" s="14">
        <v>33</v>
      </c>
      <c r="G4" s="14">
        <v>68</v>
      </c>
    </row>
    <row r="5" s="14" customFormat="1" spans="1:7">
      <c r="A5" s="14" t="s">
        <v>81</v>
      </c>
      <c r="B5" s="14" t="s">
        <v>78</v>
      </c>
      <c r="C5" s="14">
        <f t="shared" ref="C5:G5" si="0">SUM(C3:C4)</f>
        <v>125</v>
      </c>
      <c r="D5" s="14">
        <f t="shared" si="0"/>
        <v>182</v>
      </c>
      <c r="E5" s="14">
        <f t="shared" si="0"/>
        <v>122</v>
      </c>
      <c r="F5" s="14">
        <f t="shared" si="0"/>
        <v>142</v>
      </c>
      <c r="G5" s="14">
        <f t="shared" si="0"/>
        <v>192</v>
      </c>
    </row>
    <row r="6" s="14" customFormat="1" spans="1:7">
      <c r="A6" s="14" t="s">
        <v>82</v>
      </c>
      <c r="B6" s="14" t="s">
        <v>78</v>
      </c>
      <c r="C6" s="14">
        <f t="shared" ref="C6:G6" si="1">C5-C2</f>
        <v>23</v>
      </c>
      <c r="D6" s="14">
        <f t="shared" si="1"/>
        <v>81</v>
      </c>
      <c r="E6" s="14">
        <f t="shared" si="1"/>
        <v>18</v>
      </c>
      <c r="F6" s="14">
        <f t="shared" si="1"/>
        <v>35</v>
      </c>
      <c r="G6" s="14">
        <f t="shared" si="1"/>
        <v>61</v>
      </c>
    </row>
    <row r="7" s="15" customFormat="1" spans="1:7">
      <c r="A7" s="15" t="s">
        <v>83</v>
      </c>
      <c r="B7" s="15">
        <f>SUM(C7:G7)</f>
        <v>1105.79710144928</v>
      </c>
      <c r="C7" s="15">
        <f t="shared" ref="C7:G7" si="2">C6/138*700</f>
        <v>116.666666666667</v>
      </c>
      <c r="D7" s="15">
        <f t="shared" si="2"/>
        <v>410.869565217391</v>
      </c>
      <c r="E7" s="15">
        <f t="shared" si="2"/>
        <v>91.304347826087</v>
      </c>
      <c r="F7" s="15">
        <f t="shared" si="2"/>
        <v>177.536231884058</v>
      </c>
      <c r="G7" s="15">
        <f t="shared" si="2"/>
        <v>309.420289855072</v>
      </c>
    </row>
    <row r="8" s="14" customFormat="1" spans="16384:16384">
      <c r="XFD8" s="11"/>
    </row>
    <row r="9" s="14" customFormat="1" spans="1:16384">
      <c r="A9" s="14" t="s">
        <v>84</v>
      </c>
      <c r="B9" s="14">
        <v>1200</v>
      </c>
      <c r="D9" s="14" t="s">
        <v>85</v>
      </c>
      <c r="E9" s="14">
        <v>5025</v>
      </c>
      <c r="XFD9" s="11"/>
    </row>
    <row r="10" s="14" customFormat="1" spans="1:16384">
      <c r="A10" s="14" t="s">
        <v>86</v>
      </c>
      <c r="B10" s="14">
        <f>B7</f>
        <v>1105.79710144928</v>
      </c>
      <c r="D10" s="14" t="s">
        <v>87</v>
      </c>
      <c r="E10" s="14">
        <f>B12</f>
        <v>2618.29710144928</v>
      </c>
      <c r="XFD10" s="11"/>
    </row>
    <row r="11" s="14" customFormat="1" spans="1:16384">
      <c r="A11" s="14" t="s">
        <v>88</v>
      </c>
      <c r="B11" s="14">
        <f>125*2.5</f>
        <v>312.5</v>
      </c>
      <c r="D11" s="14" t="s">
        <v>89</v>
      </c>
      <c r="E11" s="14">
        <f>E9-E10</f>
        <v>2406.70289855072</v>
      </c>
      <c r="XFD11" s="11"/>
    </row>
    <row r="12" s="14" customFormat="1" spans="1:16384">
      <c r="A12" s="14" t="s">
        <v>90</v>
      </c>
      <c r="B12" s="14">
        <f>SUM(B9:B11)</f>
        <v>2618.29710144928</v>
      </c>
      <c r="XFD12" s="11"/>
    </row>
    <row r="13" s="14" customFormat="1" spans="1:16384">
      <c r="A13" s="14" t="s">
        <v>91</v>
      </c>
      <c r="B13" s="16">
        <f>B12/51</f>
        <v>51.3391588519466</v>
      </c>
      <c r="XFD13" s="1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3"/>
  <sheetViews>
    <sheetView zoomScale="145" zoomScaleNormal="145" workbookViewId="0">
      <selection activeCell="B14" sqref="B14"/>
    </sheetView>
  </sheetViews>
  <sheetFormatPr defaultColWidth="9" defaultRowHeight="13.5" outlineLevelCol="2"/>
  <cols>
    <col min="1" max="1" width="10.375"/>
    <col min="2" max="2" width="13.75"/>
    <col min="3" max="3" width="11.9083333333333" customWidth="1"/>
    <col min="4" max="4" width="10.375"/>
    <col min="5" max="6" width="9.375"/>
    <col min="7" max="7" width="11.5"/>
  </cols>
  <sheetData>
    <row r="2" ht="15.75" spans="2:3">
      <c r="B2" s="12" t="s">
        <v>92</v>
      </c>
      <c r="C2" s="12">
        <v>-1300.983391</v>
      </c>
    </row>
    <row r="3" ht="15.75" spans="2:3">
      <c r="B3" s="13" t="s">
        <v>4</v>
      </c>
      <c r="C3" s="12">
        <v>-172.776238</v>
      </c>
    </row>
    <row r="4" ht="15.75" spans="2:3">
      <c r="B4" s="13" t="s">
        <v>6</v>
      </c>
      <c r="C4" s="12">
        <v>-185.608178</v>
      </c>
    </row>
    <row r="5" ht="15.75" spans="2:3">
      <c r="B5" s="13" t="s">
        <v>7</v>
      </c>
      <c r="C5" s="12">
        <v>608.054003</v>
      </c>
    </row>
    <row r="6" ht="15.75" spans="2:3">
      <c r="B6" s="13" t="s">
        <v>10</v>
      </c>
      <c r="C6" s="12">
        <v>424.002961</v>
      </c>
    </row>
    <row r="7" ht="15.75" spans="2:3">
      <c r="B7" s="13" t="s">
        <v>13</v>
      </c>
      <c r="C7" s="12">
        <v>941.57384</v>
      </c>
    </row>
    <row r="8" ht="15.75" spans="2:3">
      <c r="B8" s="13" t="s">
        <v>14</v>
      </c>
      <c r="C8" s="12">
        <v>430.643181</v>
      </c>
    </row>
    <row r="9" ht="15.75" spans="2:3">
      <c r="B9" s="13" t="s">
        <v>16</v>
      </c>
      <c r="C9" s="12">
        <v>172.911478</v>
      </c>
    </row>
    <row r="10" ht="15.75" spans="2:3">
      <c r="B10" s="13" t="s">
        <v>19</v>
      </c>
      <c r="C10" s="12">
        <v>-190.279387</v>
      </c>
    </row>
    <row r="11" ht="15.75" spans="2:3">
      <c r="B11" s="13" t="s">
        <v>20</v>
      </c>
      <c r="C11" s="12">
        <v>510.289569</v>
      </c>
    </row>
    <row r="13" spans="2:3">
      <c r="B13" t="s">
        <v>93</v>
      </c>
      <c r="C13">
        <f>SUM(C3:C11)*0.5+C2</f>
        <v>-31.5777765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workbookViewId="0">
      <selection activeCell="D3" sqref="D3:D53"/>
    </sheetView>
  </sheetViews>
  <sheetFormatPr defaultColWidth="9" defaultRowHeight="13.5" outlineLevelCol="5"/>
  <cols>
    <col min="1" max="2" width="9" style="11"/>
    <col min="3" max="3" width="9.375" style="11"/>
    <col min="4" max="5" width="11.7333333333333" style="11" customWidth="1"/>
    <col min="6" max="6" width="12.625" style="11"/>
    <col min="7" max="16384" width="9" style="11"/>
  </cols>
  <sheetData>
    <row r="1" spans="2:4">
      <c r="B1" s="11" t="s">
        <v>94</v>
      </c>
      <c r="C1" s="11" t="b">
        <v>1</v>
      </c>
      <c r="D1" s="11" t="s">
        <v>95</v>
      </c>
    </row>
    <row r="2" spans="3:6">
      <c r="C2" s="11">
        <v>0</v>
      </c>
      <c r="D2" s="11">
        <v>0</v>
      </c>
      <c r="F2" s="11" t="s">
        <v>95</v>
      </c>
    </row>
    <row r="3" spans="1:6">
      <c r="A3" s="11" t="s">
        <v>22</v>
      </c>
      <c r="B3" s="2">
        <v>675</v>
      </c>
      <c r="C3" s="11">
        <f>C2+B3-51.34</f>
        <v>623.66</v>
      </c>
      <c r="D3" s="11">
        <v>373</v>
      </c>
      <c r="F3" s="11">
        <f>RSQ(C3:C27,D3:D27)</f>
        <v>0.856060638050227</v>
      </c>
    </row>
    <row r="4" spans="1:4">
      <c r="A4" s="11" t="s">
        <v>23</v>
      </c>
      <c r="B4" s="2">
        <v>-900</v>
      </c>
      <c r="C4" s="11">
        <f t="shared" ref="C4:C35" si="0">C3+B4-51.34</f>
        <v>-327.68</v>
      </c>
      <c r="D4" s="11">
        <v>-793</v>
      </c>
    </row>
    <row r="5" spans="1:4">
      <c r="A5" s="11" t="s">
        <v>24</v>
      </c>
      <c r="B5" s="2">
        <v>1100</v>
      </c>
      <c r="C5" s="11">
        <f t="shared" si="0"/>
        <v>720.98</v>
      </c>
      <c r="D5" s="11">
        <v>268</v>
      </c>
    </row>
    <row r="6" spans="1:4">
      <c r="A6" s="11" t="s">
        <v>25</v>
      </c>
      <c r="B6" s="2">
        <v>25</v>
      </c>
      <c r="C6" s="11">
        <f t="shared" si="0"/>
        <v>694.64</v>
      </c>
      <c r="D6" s="11">
        <v>377</v>
      </c>
    </row>
    <row r="7" spans="1:4">
      <c r="A7" s="11" t="s">
        <v>26</v>
      </c>
      <c r="B7" s="2">
        <v>-25</v>
      </c>
      <c r="C7" s="11">
        <f t="shared" si="0"/>
        <v>618.3</v>
      </c>
      <c r="D7" s="11">
        <v>302</v>
      </c>
    </row>
    <row r="8" spans="1:4">
      <c r="A8" s="11" t="s">
        <v>27</v>
      </c>
      <c r="B8" s="2">
        <v>825</v>
      </c>
      <c r="C8" s="11">
        <f t="shared" si="0"/>
        <v>1391.96</v>
      </c>
      <c r="D8" s="11">
        <v>1008</v>
      </c>
    </row>
    <row r="9" spans="1:4">
      <c r="A9" s="11" t="s">
        <v>28</v>
      </c>
      <c r="B9" s="2">
        <v>325</v>
      </c>
      <c r="C9" s="11">
        <f t="shared" si="0"/>
        <v>1665.62</v>
      </c>
      <c r="D9" s="11">
        <v>1743</v>
      </c>
    </row>
    <row r="10" spans="1:4">
      <c r="A10" s="11" t="s">
        <v>29</v>
      </c>
      <c r="B10" s="2">
        <v>-900</v>
      </c>
      <c r="C10" s="11">
        <f t="shared" si="0"/>
        <v>714.28</v>
      </c>
      <c r="D10" s="11">
        <v>928</v>
      </c>
    </row>
    <row r="11" spans="1:4">
      <c r="A11" s="11" t="s">
        <v>30</v>
      </c>
      <c r="B11" s="2">
        <v>200</v>
      </c>
      <c r="C11" s="11">
        <f t="shared" si="0"/>
        <v>862.94</v>
      </c>
      <c r="D11" s="11">
        <v>680</v>
      </c>
    </row>
    <row r="12" spans="1:4">
      <c r="A12" s="11" t="s">
        <v>31</v>
      </c>
      <c r="B12" s="2">
        <v>400</v>
      </c>
      <c r="C12" s="11">
        <f t="shared" si="0"/>
        <v>1211.6</v>
      </c>
      <c r="D12" s="11">
        <v>1077</v>
      </c>
    </row>
    <row r="13" spans="1:4">
      <c r="A13" s="11" t="s">
        <v>32</v>
      </c>
      <c r="B13" s="2">
        <v>-825</v>
      </c>
      <c r="C13" s="11">
        <f t="shared" si="0"/>
        <v>335.26</v>
      </c>
      <c r="D13" s="11">
        <v>85</v>
      </c>
    </row>
    <row r="14" spans="1:4">
      <c r="A14" s="11" t="s">
        <v>33</v>
      </c>
      <c r="B14" s="2">
        <v>350</v>
      </c>
      <c r="C14" s="11">
        <f t="shared" si="0"/>
        <v>633.92</v>
      </c>
      <c r="D14" s="11">
        <v>212</v>
      </c>
    </row>
    <row r="15" spans="1:4">
      <c r="A15" s="11" t="s">
        <v>34</v>
      </c>
      <c r="B15" s="2">
        <v>1125</v>
      </c>
      <c r="C15" s="11">
        <f t="shared" si="0"/>
        <v>1707.58</v>
      </c>
      <c r="D15" s="11">
        <v>1262</v>
      </c>
    </row>
    <row r="16" spans="1:4">
      <c r="A16" s="11" t="s">
        <v>35</v>
      </c>
      <c r="B16" s="2">
        <v>-850</v>
      </c>
      <c r="C16" s="11">
        <f t="shared" si="0"/>
        <v>806.24</v>
      </c>
      <c r="D16" s="11">
        <v>256</v>
      </c>
    </row>
    <row r="17" spans="1:4">
      <c r="A17" s="11" t="s">
        <v>36</v>
      </c>
      <c r="B17" s="2">
        <v>325</v>
      </c>
      <c r="C17" s="11">
        <f t="shared" si="0"/>
        <v>1079.9</v>
      </c>
      <c r="D17" s="11">
        <v>370</v>
      </c>
    </row>
    <row r="18" spans="1:4">
      <c r="A18" s="11" t="s">
        <v>37</v>
      </c>
      <c r="B18" s="2">
        <v>375</v>
      </c>
      <c r="C18" s="11">
        <f t="shared" si="0"/>
        <v>1403.56</v>
      </c>
      <c r="D18" s="11">
        <v>817</v>
      </c>
    </row>
    <row r="19" spans="1:4">
      <c r="A19" s="11" t="s">
        <v>38</v>
      </c>
      <c r="B19" s="2">
        <v>500</v>
      </c>
      <c r="C19" s="11">
        <f t="shared" si="0"/>
        <v>1852.22</v>
      </c>
      <c r="D19" s="11">
        <v>1258</v>
      </c>
    </row>
    <row r="20" spans="1:4">
      <c r="A20" s="11" t="s">
        <v>39</v>
      </c>
      <c r="B20" s="2">
        <v>-250</v>
      </c>
      <c r="C20" s="11">
        <f t="shared" si="0"/>
        <v>1550.88</v>
      </c>
      <c r="D20" s="11">
        <v>511</v>
      </c>
    </row>
    <row r="21" spans="1:4">
      <c r="A21" s="11" t="s">
        <v>40</v>
      </c>
      <c r="B21" s="2">
        <v>75</v>
      </c>
      <c r="C21" s="11">
        <f t="shared" si="0"/>
        <v>1574.54</v>
      </c>
      <c r="D21" s="11">
        <v>625</v>
      </c>
    </row>
    <row r="22" spans="1:4">
      <c r="A22" s="11" t="s">
        <v>41</v>
      </c>
      <c r="B22" s="2">
        <v>-600</v>
      </c>
      <c r="C22" s="11">
        <f t="shared" si="0"/>
        <v>923.2</v>
      </c>
      <c r="D22" s="11">
        <v>569</v>
      </c>
    </row>
    <row r="23" spans="1:4">
      <c r="A23" s="11" t="s">
        <v>42</v>
      </c>
      <c r="B23" s="2">
        <v>1425</v>
      </c>
      <c r="C23" s="11">
        <f t="shared" si="0"/>
        <v>2296.86</v>
      </c>
      <c r="D23" s="11">
        <v>1803</v>
      </c>
    </row>
    <row r="24" spans="1:4">
      <c r="A24" s="11" t="s">
        <v>43</v>
      </c>
      <c r="B24" s="2">
        <v>-175</v>
      </c>
      <c r="C24" s="11">
        <f t="shared" si="0"/>
        <v>2070.52</v>
      </c>
      <c r="D24" s="11">
        <v>1666</v>
      </c>
    </row>
    <row r="25" spans="1:4">
      <c r="A25" s="11" t="s">
        <v>44</v>
      </c>
      <c r="B25" s="2">
        <v>0</v>
      </c>
      <c r="C25" s="11">
        <f t="shared" si="0"/>
        <v>2019.18</v>
      </c>
      <c r="D25" s="11">
        <v>1449</v>
      </c>
    </row>
    <row r="26" spans="1:4">
      <c r="A26" s="11" t="s">
        <v>45</v>
      </c>
      <c r="B26" s="2">
        <v>375</v>
      </c>
      <c r="C26" s="11">
        <f t="shared" si="0"/>
        <v>2342.84</v>
      </c>
      <c r="D26" s="11">
        <v>1646</v>
      </c>
    </row>
    <row r="27" spans="1:4">
      <c r="A27" s="11" t="s">
        <v>46</v>
      </c>
      <c r="B27" s="2">
        <v>425</v>
      </c>
      <c r="C27" s="11">
        <f t="shared" si="0"/>
        <v>2716.5</v>
      </c>
      <c r="D27" s="11">
        <v>2192</v>
      </c>
    </row>
    <row r="28" spans="1:4">
      <c r="A28" s="11" t="s">
        <v>47</v>
      </c>
      <c r="B28" s="2">
        <v>-800</v>
      </c>
      <c r="C28" s="11">
        <f t="shared" si="0"/>
        <v>1865.16</v>
      </c>
      <c r="D28" s="11">
        <v>1627</v>
      </c>
    </row>
    <row r="29" spans="1:4">
      <c r="A29" s="11" t="s">
        <v>48</v>
      </c>
      <c r="B29" s="2">
        <v>1600</v>
      </c>
      <c r="C29" s="11">
        <f t="shared" si="0"/>
        <v>3413.82</v>
      </c>
      <c r="D29" s="11">
        <v>2696</v>
      </c>
    </row>
    <row r="30" spans="1:4">
      <c r="A30" s="11" t="s">
        <v>49</v>
      </c>
      <c r="B30" s="2">
        <v>100</v>
      </c>
      <c r="C30" s="11">
        <f t="shared" si="0"/>
        <v>3462.48</v>
      </c>
      <c r="D30" s="11">
        <v>2632</v>
      </c>
    </row>
    <row r="31" spans="1:4">
      <c r="A31" s="11" t="s">
        <v>50</v>
      </c>
      <c r="B31" s="2">
        <v>-400</v>
      </c>
      <c r="C31" s="11">
        <f t="shared" si="0"/>
        <v>3011.14</v>
      </c>
      <c r="D31" s="11">
        <v>2764</v>
      </c>
    </row>
    <row r="32" spans="1:4">
      <c r="A32" s="11" t="s">
        <v>51</v>
      </c>
      <c r="B32" s="2">
        <v>-1325</v>
      </c>
      <c r="C32" s="11">
        <f t="shared" si="0"/>
        <v>1634.8</v>
      </c>
      <c r="D32" s="11">
        <v>1408</v>
      </c>
    </row>
    <row r="33" spans="1:4">
      <c r="A33" s="11" t="s">
        <v>52</v>
      </c>
      <c r="B33" s="2">
        <v>-350</v>
      </c>
      <c r="C33" s="11">
        <f t="shared" si="0"/>
        <v>1233.46</v>
      </c>
      <c r="D33" s="11">
        <v>1017</v>
      </c>
    </row>
    <row r="34" spans="1:4">
      <c r="A34" s="11" t="s">
        <v>53</v>
      </c>
      <c r="B34" s="2">
        <v>1175</v>
      </c>
      <c r="C34" s="11">
        <f t="shared" si="0"/>
        <v>2357.12</v>
      </c>
      <c r="D34" s="11">
        <v>2166</v>
      </c>
    </row>
    <row r="35" spans="1:4">
      <c r="A35" s="11" t="s">
        <v>54</v>
      </c>
      <c r="B35" s="2">
        <v>550</v>
      </c>
      <c r="C35" s="11">
        <f t="shared" si="0"/>
        <v>2855.78</v>
      </c>
      <c r="D35" s="11">
        <v>2625</v>
      </c>
    </row>
    <row r="36" spans="1:4">
      <c r="A36" s="11" t="s">
        <v>55</v>
      </c>
      <c r="B36" s="2">
        <v>425</v>
      </c>
      <c r="C36" s="11">
        <f t="shared" ref="C36:C53" si="1">C35+B36-51.34</f>
        <v>3229.44</v>
      </c>
      <c r="D36" s="11">
        <v>3077</v>
      </c>
    </row>
    <row r="37" spans="1:4">
      <c r="A37" s="11" t="s">
        <v>56</v>
      </c>
      <c r="B37" s="2">
        <v>-150</v>
      </c>
      <c r="C37" s="11">
        <f t="shared" si="1"/>
        <v>3028.1</v>
      </c>
      <c r="D37" s="11">
        <v>2677</v>
      </c>
    </row>
    <row r="38" spans="1:4">
      <c r="A38" s="11" t="s">
        <v>57</v>
      </c>
      <c r="B38" s="2">
        <v>-400</v>
      </c>
      <c r="C38" s="11">
        <f t="shared" si="1"/>
        <v>2576.76</v>
      </c>
      <c r="D38" s="11">
        <v>2004</v>
      </c>
    </row>
    <row r="39" spans="1:4">
      <c r="A39" s="11" t="s">
        <v>58</v>
      </c>
      <c r="B39" s="2">
        <v>-150</v>
      </c>
      <c r="C39" s="11">
        <f t="shared" si="1"/>
        <v>2375.42</v>
      </c>
      <c r="D39" s="11">
        <v>1775</v>
      </c>
    </row>
    <row r="40" spans="1:4">
      <c r="A40" s="11" t="s">
        <v>59</v>
      </c>
      <c r="B40" s="2">
        <v>1000</v>
      </c>
      <c r="C40" s="11">
        <f t="shared" si="1"/>
        <v>3324.08</v>
      </c>
      <c r="D40" s="11">
        <v>2593</v>
      </c>
    </row>
    <row r="41" spans="1:4">
      <c r="A41" s="11" t="s">
        <v>60</v>
      </c>
      <c r="B41" s="2">
        <v>-1050</v>
      </c>
      <c r="C41" s="11">
        <f t="shared" si="1"/>
        <v>2222.74</v>
      </c>
      <c r="D41" s="11">
        <v>1338</v>
      </c>
    </row>
    <row r="42" spans="1:4">
      <c r="A42" s="11" t="s">
        <v>61</v>
      </c>
      <c r="B42" s="2">
        <v>425</v>
      </c>
      <c r="C42" s="11">
        <f t="shared" si="1"/>
        <v>2596.4</v>
      </c>
      <c r="D42" s="11">
        <v>1896</v>
      </c>
    </row>
    <row r="43" spans="1:4">
      <c r="A43" s="11" t="s">
        <v>62</v>
      </c>
      <c r="B43" s="2">
        <v>775</v>
      </c>
      <c r="C43" s="11">
        <f t="shared" si="1"/>
        <v>3320.06</v>
      </c>
      <c r="D43" s="11">
        <v>2606</v>
      </c>
    </row>
    <row r="44" spans="1:4">
      <c r="A44" s="11" t="s">
        <v>63</v>
      </c>
      <c r="B44" s="2">
        <v>-325</v>
      </c>
      <c r="C44" s="11">
        <f t="shared" si="1"/>
        <v>2943.72</v>
      </c>
      <c r="D44" s="11">
        <v>2297</v>
      </c>
    </row>
    <row r="45" spans="1:4">
      <c r="A45" s="11" t="s">
        <v>64</v>
      </c>
      <c r="B45" s="2">
        <v>-1325</v>
      </c>
      <c r="C45" s="11">
        <f t="shared" si="1"/>
        <v>1567.38</v>
      </c>
      <c r="D45" s="11">
        <v>2055</v>
      </c>
    </row>
    <row r="46" spans="1:4">
      <c r="A46" s="11" t="s">
        <v>65</v>
      </c>
      <c r="B46" s="2">
        <v>-1175</v>
      </c>
      <c r="C46" s="11">
        <f t="shared" si="1"/>
        <v>341.039999999998</v>
      </c>
      <c r="D46" s="11">
        <v>1125</v>
      </c>
    </row>
    <row r="47" spans="1:4">
      <c r="A47" s="11" t="s">
        <v>66</v>
      </c>
      <c r="B47" s="2">
        <v>-1100</v>
      </c>
      <c r="C47" s="11">
        <f t="shared" si="1"/>
        <v>-810.300000000002</v>
      </c>
      <c r="D47" s="11">
        <v>21</v>
      </c>
    </row>
    <row r="48" spans="1:4">
      <c r="A48" s="11" t="s">
        <v>67</v>
      </c>
      <c r="B48" s="2">
        <v>-725</v>
      </c>
      <c r="C48" s="11">
        <f t="shared" si="1"/>
        <v>-1586.64</v>
      </c>
      <c r="D48" s="11">
        <v>-971</v>
      </c>
    </row>
    <row r="49" spans="1:4">
      <c r="A49" s="11" t="s">
        <v>68</v>
      </c>
      <c r="B49" s="2">
        <v>1000</v>
      </c>
      <c r="C49" s="11">
        <f t="shared" si="1"/>
        <v>-637.980000000002</v>
      </c>
      <c r="D49" s="11">
        <v>-236</v>
      </c>
    </row>
    <row r="50" spans="1:4">
      <c r="A50" s="11" t="s">
        <v>69</v>
      </c>
      <c r="B50" s="2">
        <v>-325</v>
      </c>
      <c r="C50" s="11">
        <f t="shared" si="1"/>
        <v>-1014.32</v>
      </c>
      <c r="D50" s="11">
        <v>-718</v>
      </c>
    </row>
    <row r="51" spans="1:4">
      <c r="A51" s="11" t="s">
        <v>70</v>
      </c>
      <c r="B51" s="2">
        <v>825</v>
      </c>
      <c r="C51" s="11">
        <f t="shared" si="1"/>
        <v>-240.660000000002</v>
      </c>
      <c r="D51" s="11">
        <v>-86</v>
      </c>
    </row>
    <row r="52" spans="1:4">
      <c r="A52" s="11" t="s">
        <v>71</v>
      </c>
      <c r="B52" s="2">
        <v>1300</v>
      </c>
      <c r="C52" s="11">
        <f t="shared" si="1"/>
        <v>1008</v>
      </c>
      <c r="D52" s="11">
        <v>981</v>
      </c>
    </row>
    <row r="53" spans="1:4">
      <c r="A53" s="11" t="s">
        <v>72</v>
      </c>
      <c r="B53" s="2">
        <v>1450</v>
      </c>
      <c r="C53" s="11">
        <f t="shared" si="1"/>
        <v>2406.66</v>
      </c>
      <c r="D53" s="11">
        <v>2407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workbookViewId="0">
      <selection activeCell="H3" sqref="H3:H53"/>
    </sheetView>
  </sheetViews>
  <sheetFormatPr defaultColWidth="9" defaultRowHeight="13.5" outlineLevelCol="7"/>
  <cols>
    <col min="1" max="1" width="9" style="5"/>
    <col min="2" max="2" width="9" style="6"/>
    <col min="3" max="3" width="10.375" style="7"/>
    <col min="4" max="4" width="9" style="5"/>
    <col min="5" max="7" width="9" style="5" customWidth="1"/>
    <col min="8" max="16384" width="9" style="5"/>
  </cols>
  <sheetData>
    <row r="1" s="5" customFormat="1" spans="1:8">
      <c r="A1" s="8"/>
      <c r="B1" s="9" t="s">
        <v>95</v>
      </c>
      <c r="C1" s="10" t="s">
        <v>96</v>
      </c>
      <c r="D1" s="8" t="s">
        <v>97</v>
      </c>
      <c r="E1" s="8"/>
      <c r="H1" s="8" t="s">
        <v>98</v>
      </c>
    </row>
    <row r="2" s="5" customFormat="1" spans="1:7">
      <c r="A2" s="8">
        <v>2000</v>
      </c>
      <c r="B2" s="9">
        <v>0</v>
      </c>
      <c r="C2" s="10">
        <v>0</v>
      </c>
      <c r="D2" s="8">
        <v>0</v>
      </c>
      <c r="E2" s="8">
        <v>8000</v>
      </c>
      <c r="F2" s="8"/>
      <c r="G2" s="8"/>
    </row>
    <row r="3" s="5" customFormat="1" spans="1:8">
      <c r="A3" s="8">
        <v>2002</v>
      </c>
      <c r="B3" s="9">
        <v>469</v>
      </c>
      <c r="C3" s="10">
        <f t="shared" ref="C3:C53" si="0">D3-51.34*(A3-2000)/2</f>
        <v>623.66</v>
      </c>
      <c r="D3" s="8">
        <f t="shared" ref="D3:D28" si="1">E3-8000</f>
        <v>675</v>
      </c>
      <c r="E3" s="8">
        <v>8675</v>
      </c>
      <c r="F3" s="8"/>
      <c r="G3" s="8"/>
      <c r="H3" s="5">
        <f>D3-D2</f>
        <v>675</v>
      </c>
    </row>
    <row r="4" s="5" customFormat="1" spans="1:8">
      <c r="A4" s="8">
        <v>2004</v>
      </c>
      <c r="B4" s="9">
        <v>-920</v>
      </c>
      <c r="C4" s="10">
        <f t="shared" si="0"/>
        <v>-327.68</v>
      </c>
      <c r="D4" s="8">
        <f t="shared" si="1"/>
        <v>-225</v>
      </c>
      <c r="E4" s="8">
        <v>7775</v>
      </c>
      <c r="F4" s="8"/>
      <c r="G4" s="8"/>
      <c r="H4" s="5">
        <f t="shared" ref="H4:H35" si="2">D4-D3</f>
        <v>-900</v>
      </c>
    </row>
    <row r="5" s="5" customFormat="1" spans="1:8">
      <c r="A5" s="8">
        <v>2006</v>
      </c>
      <c r="B5" s="9">
        <v>-8</v>
      </c>
      <c r="C5" s="10">
        <f t="shared" si="0"/>
        <v>720.98</v>
      </c>
      <c r="D5" s="8">
        <f t="shared" si="1"/>
        <v>875</v>
      </c>
      <c r="E5" s="8">
        <v>8875</v>
      </c>
      <c r="F5" s="8"/>
      <c r="G5" s="8"/>
      <c r="H5" s="5">
        <f t="shared" si="2"/>
        <v>1100</v>
      </c>
    </row>
    <row r="6" s="5" customFormat="1" spans="1:8">
      <c r="A6" s="8">
        <v>2008</v>
      </c>
      <c r="B6" s="9">
        <v>445</v>
      </c>
      <c r="C6" s="10">
        <f t="shared" si="0"/>
        <v>694.64</v>
      </c>
      <c r="D6" s="8">
        <f t="shared" si="1"/>
        <v>900</v>
      </c>
      <c r="E6" s="8">
        <v>8900</v>
      </c>
      <c r="F6" s="8"/>
      <c r="G6" s="8"/>
      <c r="H6" s="5">
        <f t="shared" si="2"/>
        <v>25</v>
      </c>
    </row>
    <row r="7" s="5" customFormat="1" spans="1:8">
      <c r="A7" s="8">
        <v>2010</v>
      </c>
      <c r="B7" s="9">
        <v>561</v>
      </c>
      <c r="C7" s="10">
        <f t="shared" si="0"/>
        <v>618.3</v>
      </c>
      <c r="D7" s="8">
        <f t="shared" si="1"/>
        <v>875</v>
      </c>
      <c r="E7" s="8">
        <v>8875</v>
      </c>
      <c r="F7" s="8"/>
      <c r="G7" s="8"/>
      <c r="H7" s="5">
        <f t="shared" si="2"/>
        <v>-25</v>
      </c>
    </row>
    <row r="8" s="5" customFormat="1" spans="1:8">
      <c r="A8" s="8">
        <v>2012</v>
      </c>
      <c r="B8" s="9">
        <v>1329</v>
      </c>
      <c r="C8" s="10">
        <f t="shared" si="0"/>
        <v>1391.96</v>
      </c>
      <c r="D8" s="8">
        <f t="shared" si="1"/>
        <v>1700</v>
      </c>
      <c r="E8" s="8">
        <v>9700</v>
      </c>
      <c r="F8" s="8"/>
      <c r="G8" s="8"/>
      <c r="H8" s="5">
        <f t="shared" si="2"/>
        <v>825</v>
      </c>
    </row>
    <row r="9" s="5" customFormat="1" spans="1:8">
      <c r="A9" s="8">
        <v>2014</v>
      </c>
      <c r="B9" s="9">
        <v>2028</v>
      </c>
      <c r="C9" s="10">
        <f t="shared" si="0"/>
        <v>1665.62</v>
      </c>
      <c r="D9" s="8">
        <f t="shared" si="1"/>
        <v>2025</v>
      </c>
      <c r="E9" s="8">
        <v>10025</v>
      </c>
      <c r="F9" s="8"/>
      <c r="G9" s="8"/>
      <c r="H9" s="5">
        <f t="shared" si="2"/>
        <v>325</v>
      </c>
    </row>
    <row r="10" s="5" customFormat="1" spans="1:8">
      <c r="A10" s="8">
        <v>2016</v>
      </c>
      <c r="B10" s="9">
        <v>1367</v>
      </c>
      <c r="C10" s="10">
        <f t="shared" si="0"/>
        <v>714.28</v>
      </c>
      <c r="D10" s="8">
        <f t="shared" si="1"/>
        <v>1125</v>
      </c>
      <c r="E10" s="8">
        <v>9125</v>
      </c>
      <c r="F10" s="8"/>
      <c r="G10" s="8"/>
      <c r="H10" s="5">
        <f t="shared" si="2"/>
        <v>-900</v>
      </c>
    </row>
    <row r="11" s="5" customFormat="1" spans="1:8">
      <c r="A11" s="8">
        <v>2018</v>
      </c>
      <c r="B11" s="9">
        <v>1045</v>
      </c>
      <c r="C11" s="10">
        <f t="shared" si="0"/>
        <v>862.94</v>
      </c>
      <c r="D11" s="8">
        <f t="shared" si="1"/>
        <v>1325</v>
      </c>
      <c r="E11" s="8">
        <v>9325</v>
      </c>
      <c r="F11" s="8"/>
      <c r="G11" s="8"/>
      <c r="H11" s="5">
        <f t="shared" si="2"/>
        <v>200</v>
      </c>
    </row>
    <row r="12" s="5" customFormat="1" spans="1:8">
      <c r="A12" s="8">
        <v>2020</v>
      </c>
      <c r="B12" s="9">
        <v>1374</v>
      </c>
      <c r="C12" s="10">
        <f t="shared" si="0"/>
        <v>1211.6</v>
      </c>
      <c r="D12" s="8">
        <f t="shared" si="1"/>
        <v>1725</v>
      </c>
      <c r="E12" s="8">
        <v>9725</v>
      </c>
      <c r="F12" s="8"/>
      <c r="G12" s="8"/>
      <c r="H12" s="5">
        <f t="shared" si="2"/>
        <v>400</v>
      </c>
    </row>
    <row r="13" s="5" customFormat="1" spans="1:8">
      <c r="A13" s="8">
        <v>2022</v>
      </c>
      <c r="B13" s="9">
        <v>640</v>
      </c>
      <c r="C13" s="10">
        <f t="shared" si="0"/>
        <v>335.26</v>
      </c>
      <c r="D13" s="8">
        <f t="shared" si="1"/>
        <v>900</v>
      </c>
      <c r="E13" s="8">
        <v>8900</v>
      </c>
      <c r="F13" s="8"/>
      <c r="G13" s="8"/>
      <c r="H13" s="5">
        <f t="shared" si="2"/>
        <v>-825</v>
      </c>
    </row>
    <row r="14" s="5" customFormat="1" spans="1:8">
      <c r="A14" s="8">
        <v>2024</v>
      </c>
      <c r="B14" s="9">
        <v>1020</v>
      </c>
      <c r="C14" s="10">
        <f t="shared" si="0"/>
        <v>633.92</v>
      </c>
      <c r="D14" s="8">
        <f t="shared" si="1"/>
        <v>1250</v>
      </c>
      <c r="E14" s="8">
        <v>9250</v>
      </c>
      <c r="F14" s="8"/>
      <c r="G14" s="8"/>
      <c r="H14" s="5">
        <f t="shared" si="2"/>
        <v>350</v>
      </c>
    </row>
    <row r="15" s="5" customFormat="1" spans="1:8">
      <c r="A15" s="8">
        <v>2026</v>
      </c>
      <c r="B15" s="9">
        <v>1944</v>
      </c>
      <c r="C15" s="10">
        <f t="shared" si="0"/>
        <v>1707.58</v>
      </c>
      <c r="D15" s="8">
        <f t="shared" si="1"/>
        <v>2375</v>
      </c>
      <c r="E15" s="8">
        <v>10375</v>
      </c>
      <c r="F15" s="8"/>
      <c r="G15" s="8"/>
      <c r="H15" s="5">
        <f t="shared" si="2"/>
        <v>1125</v>
      </c>
    </row>
    <row r="16" s="5" customFormat="1" spans="1:8">
      <c r="A16" s="8">
        <v>2028</v>
      </c>
      <c r="B16" s="9">
        <v>1064</v>
      </c>
      <c r="C16" s="10">
        <f t="shared" si="0"/>
        <v>806.24</v>
      </c>
      <c r="D16" s="8">
        <f t="shared" si="1"/>
        <v>1525</v>
      </c>
      <c r="E16" s="8">
        <v>9525</v>
      </c>
      <c r="F16" s="8"/>
      <c r="G16" s="8"/>
      <c r="H16" s="5">
        <f t="shared" si="2"/>
        <v>-850</v>
      </c>
    </row>
    <row r="17" s="5" customFormat="1" spans="1:8">
      <c r="A17" s="8">
        <v>2030</v>
      </c>
      <c r="B17" s="9">
        <v>680</v>
      </c>
      <c r="C17" s="10">
        <f t="shared" si="0"/>
        <v>1079.9</v>
      </c>
      <c r="D17" s="8">
        <f t="shared" si="1"/>
        <v>1850</v>
      </c>
      <c r="E17" s="8">
        <v>9850</v>
      </c>
      <c r="F17" s="8"/>
      <c r="G17" s="8"/>
      <c r="H17" s="5">
        <f t="shared" si="2"/>
        <v>325</v>
      </c>
    </row>
    <row r="18" s="5" customFormat="1" spans="1:8">
      <c r="A18" s="8">
        <v>2032</v>
      </c>
      <c r="B18" s="9">
        <v>1648</v>
      </c>
      <c r="C18" s="10">
        <f t="shared" si="0"/>
        <v>1403.56</v>
      </c>
      <c r="D18" s="8">
        <f t="shared" si="1"/>
        <v>2225</v>
      </c>
      <c r="E18" s="8">
        <v>10225</v>
      </c>
      <c r="F18" s="8"/>
      <c r="G18" s="8"/>
      <c r="H18" s="5">
        <f t="shared" si="2"/>
        <v>375</v>
      </c>
    </row>
    <row r="19" s="5" customFormat="1" spans="1:8">
      <c r="A19" s="8">
        <v>2034</v>
      </c>
      <c r="B19" s="9">
        <v>2472</v>
      </c>
      <c r="C19" s="10">
        <f t="shared" si="0"/>
        <v>1852.22</v>
      </c>
      <c r="D19" s="8">
        <f t="shared" si="1"/>
        <v>2725</v>
      </c>
      <c r="E19" s="8">
        <v>10725</v>
      </c>
      <c r="F19" s="8"/>
      <c r="G19" s="8"/>
      <c r="H19" s="5">
        <f t="shared" si="2"/>
        <v>500</v>
      </c>
    </row>
    <row r="20" s="5" customFormat="1" spans="1:8">
      <c r="A20" s="8">
        <v>2036</v>
      </c>
      <c r="B20" s="9">
        <v>1548</v>
      </c>
      <c r="C20" s="10">
        <f t="shared" si="0"/>
        <v>1550.88</v>
      </c>
      <c r="D20" s="8">
        <f t="shared" si="1"/>
        <v>2475</v>
      </c>
      <c r="E20" s="8">
        <v>10475</v>
      </c>
      <c r="F20" s="8"/>
      <c r="G20" s="8"/>
      <c r="H20" s="5">
        <f t="shared" si="2"/>
        <v>-250</v>
      </c>
    </row>
    <row r="21" s="5" customFormat="1" spans="1:8">
      <c r="A21" s="8">
        <v>2038</v>
      </c>
      <c r="B21" s="9">
        <v>1456</v>
      </c>
      <c r="C21" s="10">
        <f t="shared" si="0"/>
        <v>1574.54</v>
      </c>
      <c r="D21" s="8">
        <f t="shared" si="1"/>
        <v>2550</v>
      </c>
      <c r="E21" s="8">
        <v>10550</v>
      </c>
      <c r="F21" s="8"/>
      <c r="G21" s="8"/>
      <c r="H21" s="5">
        <f t="shared" si="2"/>
        <v>75</v>
      </c>
    </row>
    <row r="22" s="5" customFormat="1" spans="1:8">
      <c r="A22" s="8">
        <v>2040</v>
      </c>
      <c r="B22" s="9">
        <v>1511</v>
      </c>
      <c r="C22" s="10">
        <f t="shared" si="0"/>
        <v>923.2</v>
      </c>
      <c r="D22" s="8">
        <f t="shared" si="1"/>
        <v>1950</v>
      </c>
      <c r="E22" s="8">
        <v>9950</v>
      </c>
      <c r="F22" s="8"/>
      <c r="G22" s="8"/>
      <c r="H22" s="5">
        <f t="shared" si="2"/>
        <v>-600</v>
      </c>
    </row>
    <row r="23" s="5" customFormat="1" spans="1:8">
      <c r="A23" s="8">
        <v>2042</v>
      </c>
      <c r="B23" s="9">
        <v>2569</v>
      </c>
      <c r="C23" s="10">
        <f t="shared" si="0"/>
        <v>2296.86</v>
      </c>
      <c r="D23" s="8">
        <f t="shared" si="1"/>
        <v>3375</v>
      </c>
      <c r="E23" s="8">
        <v>11375</v>
      </c>
      <c r="F23" s="8"/>
      <c r="G23" s="8"/>
      <c r="H23" s="5">
        <f t="shared" si="2"/>
        <v>1425</v>
      </c>
    </row>
    <row r="24" s="5" customFormat="1" spans="1:8">
      <c r="A24" s="8">
        <v>2044</v>
      </c>
      <c r="B24" s="9">
        <v>2352</v>
      </c>
      <c r="C24" s="10">
        <f t="shared" si="0"/>
        <v>2070.52</v>
      </c>
      <c r="D24" s="8">
        <f t="shared" si="1"/>
        <v>3200</v>
      </c>
      <c r="E24" s="8">
        <v>11200</v>
      </c>
      <c r="F24" s="8"/>
      <c r="G24" s="8"/>
      <c r="H24" s="5">
        <f t="shared" si="2"/>
        <v>-175</v>
      </c>
    </row>
    <row r="25" s="5" customFormat="1" spans="1:8">
      <c r="A25" s="8">
        <v>2046</v>
      </c>
      <c r="B25" s="9">
        <v>2304</v>
      </c>
      <c r="C25" s="10">
        <f t="shared" si="0"/>
        <v>2019.18</v>
      </c>
      <c r="D25" s="8">
        <f t="shared" si="1"/>
        <v>3200</v>
      </c>
      <c r="E25" s="8">
        <v>11200</v>
      </c>
      <c r="F25" s="8"/>
      <c r="G25" s="8"/>
      <c r="H25" s="5">
        <f t="shared" si="2"/>
        <v>0</v>
      </c>
    </row>
    <row r="26" s="5" customFormat="1" spans="1:8">
      <c r="A26" s="8">
        <v>2048</v>
      </c>
      <c r="B26" s="9">
        <v>2594</v>
      </c>
      <c r="C26" s="10">
        <f t="shared" si="0"/>
        <v>2342.84</v>
      </c>
      <c r="D26" s="8">
        <f t="shared" si="1"/>
        <v>3575</v>
      </c>
      <c r="E26" s="8">
        <v>11575</v>
      </c>
      <c r="F26" s="8"/>
      <c r="G26" s="8"/>
      <c r="H26" s="5">
        <f t="shared" si="2"/>
        <v>375</v>
      </c>
    </row>
    <row r="27" s="5" customFormat="1" spans="1:8">
      <c r="A27" s="8">
        <v>2050</v>
      </c>
      <c r="B27" s="9">
        <v>2956</v>
      </c>
      <c r="C27" s="10">
        <f t="shared" si="0"/>
        <v>2716.5</v>
      </c>
      <c r="D27" s="8">
        <f t="shared" si="1"/>
        <v>4000</v>
      </c>
      <c r="E27" s="8">
        <v>12000</v>
      </c>
      <c r="F27" s="8"/>
      <c r="G27" s="8"/>
      <c r="H27" s="5">
        <f t="shared" si="2"/>
        <v>425</v>
      </c>
    </row>
    <row r="28" s="5" customFormat="1" spans="1:8">
      <c r="A28" s="8">
        <v>2052</v>
      </c>
      <c r="B28" s="9">
        <v>2054</v>
      </c>
      <c r="C28" s="10">
        <f t="shared" si="0"/>
        <v>1865.16</v>
      </c>
      <c r="D28" s="8">
        <f t="shared" si="1"/>
        <v>3200</v>
      </c>
      <c r="E28" s="8">
        <v>11200</v>
      </c>
      <c r="F28" s="8">
        <f>E28-10000</f>
        <v>1200</v>
      </c>
      <c r="G28" s="8"/>
      <c r="H28" s="5">
        <f t="shared" si="2"/>
        <v>-800</v>
      </c>
    </row>
    <row r="29" s="5" customFormat="1" spans="1:8">
      <c r="A29" s="8">
        <v>2054</v>
      </c>
      <c r="B29" s="9">
        <v>3260</v>
      </c>
      <c r="C29" s="10">
        <f t="shared" si="0"/>
        <v>3413.82</v>
      </c>
      <c r="D29" s="8">
        <f t="shared" ref="D29:D46" si="3">F29+2000</f>
        <v>4800</v>
      </c>
      <c r="E29" s="8"/>
      <c r="F29" s="8">
        <v>2800</v>
      </c>
      <c r="G29" s="8"/>
      <c r="H29" s="5">
        <f t="shared" si="2"/>
        <v>1600</v>
      </c>
    </row>
    <row r="30" s="5" customFormat="1" spans="1:8">
      <c r="A30" s="8">
        <v>2056</v>
      </c>
      <c r="B30" s="9">
        <v>3060</v>
      </c>
      <c r="C30" s="10">
        <f t="shared" si="0"/>
        <v>3462.48</v>
      </c>
      <c r="D30" s="8">
        <f t="shared" si="3"/>
        <v>4900</v>
      </c>
      <c r="E30" s="8"/>
      <c r="F30" s="8">
        <v>2900</v>
      </c>
      <c r="G30" s="8"/>
      <c r="H30" s="5">
        <f t="shared" si="2"/>
        <v>100</v>
      </c>
    </row>
    <row r="31" s="5" customFormat="1" spans="1:8">
      <c r="A31" s="8">
        <v>2058</v>
      </c>
      <c r="B31" s="9">
        <v>3584</v>
      </c>
      <c r="C31" s="10">
        <f t="shared" si="0"/>
        <v>3011.14</v>
      </c>
      <c r="D31" s="8">
        <f t="shared" si="3"/>
        <v>4500</v>
      </c>
      <c r="E31" s="8"/>
      <c r="F31" s="8">
        <v>2500</v>
      </c>
      <c r="G31" s="8"/>
      <c r="H31" s="5">
        <f t="shared" si="2"/>
        <v>-400</v>
      </c>
    </row>
    <row r="32" s="5" customFormat="1" spans="1:8">
      <c r="A32" s="8">
        <v>2060</v>
      </c>
      <c r="B32" s="9">
        <v>2560</v>
      </c>
      <c r="C32" s="10">
        <f t="shared" si="0"/>
        <v>1634.8</v>
      </c>
      <c r="D32" s="8">
        <f t="shared" si="3"/>
        <v>3175</v>
      </c>
      <c r="E32" s="8"/>
      <c r="F32" s="8">
        <v>1175</v>
      </c>
      <c r="G32" s="8"/>
      <c r="H32" s="5">
        <f t="shared" si="2"/>
        <v>-1325</v>
      </c>
    </row>
    <row r="33" s="5" customFormat="1" spans="1:8">
      <c r="A33" s="8">
        <v>2062</v>
      </c>
      <c r="B33" s="9">
        <v>1551</v>
      </c>
      <c r="C33" s="10">
        <f t="shared" si="0"/>
        <v>1233.46</v>
      </c>
      <c r="D33" s="8">
        <f t="shared" si="3"/>
        <v>2825</v>
      </c>
      <c r="E33" s="8"/>
      <c r="F33" s="8">
        <v>825</v>
      </c>
      <c r="G33" s="8"/>
      <c r="H33" s="5">
        <f t="shared" si="2"/>
        <v>-350</v>
      </c>
    </row>
    <row r="34" s="5" customFormat="1" spans="1:8">
      <c r="A34" s="8">
        <v>2064</v>
      </c>
      <c r="B34" s="9">
        <v>3324</v>
      </c>
      <c r="C34" s="10">
        <f t="shared" si="0"/>
        <v>2357.12</v>
      </c>
      <c r="D34" s="8">
        <f t="shared" si="3"/>
        <v>4000</v>
      </c>
      <c r="E34" s="8"/>
      <c r="F34" s="8">
        <v>2000</v>
      </c>
      <c r="G34" s="8"/>
      <c r="H34" s="5">
        <f t="shared" si="2"/>
        <v>1175</v>
      </c>
    </row>
    <row r="35" s="5" customFormat="1" spans="1:8">
      <c r="A35" s="8">
        <v>2066</v>
      </c>
      <c r="B35" s="9">
        <v>4511</v>
      </c>
      <c r="C35" s="10">
        <f t="shared" si="0"/>
        <v>2855.78</v>
      </c>
      <c r="D35" s="8">
        <f t="shared" si="3"/>
        <v>4550</v>
      </c>
      <c r="E35" s="8"/>
      <c r="F35" s="8">
        <v>2550</v>
      </c>
      <c r="G35" s="8"/>
      <c r="H35" s="5">
        <f t="shared" si="2"/>
        <v>550</v>
      </c>
    </row>
    <row r="36" s="5" customFormat="1" spans="1:8">
      <c r="A36" s="8">
        <v>2068</v>
      </c>
      <c r="B36" s="9">
        <v>4924</v>
      </c>
      <c r="C36" s="10">
        <f t="shared" si="0"/>
        <v>3229.44</v>
      </c>
      <c r="D36" s="8">
        <f t="shared" si="3"/>
        <v>4975</v>
      </c>
      <c r="E36" s="8"/>
      <c r="F36" s="8">
        <v>2975</v>
      </c>
      <c r="G36" s="8"/>
      <c r="H36" s="5">
        <f t="shared" ref="H36:H53" si="4">D36-D35</f>
        <v>425</v>
      </c>
    </row>
    <row r="37" s="5" customFormat="1" spans="1:8">
      <c r="A37" s="8">
        <v>2070</v>
      </c>
      <c r="B37" s="9">
        <v>5047</v>
      </c>
      <c r="C37" s="10">
        <f t="shared" si="0"/>
        <v>3028.1</v>
      </c>
      <c r="D37" s="8">
        <f t="shared" si="3"/>
        <v>4825</v>
      </c>
      <c r="E37" s="8"/>
      <c r="F37" s="8">
        <v>2825</v>
      </c>
      <c r="G37" s="8"/>
      <c r="H37" s="5">
        <f t="shared" si="4"/>
        <v>-150</v>
      </c>
    </row>
    <row r="38" s="5" customFormat="1" spans="1:8">
      <c r="A38" s="8">
        <v>2072</v>
      </c>
      <c r="B38" s="9">
        <v>4719</v>
      </c>
      <c r="C38" s="10">
        <f t="shared" si="0"/>
        <v>2576.76</v>
      </c>
      <c r="D38" s="8">
        <f t="shared" si="3"/>
        <v>4425</v>
      </c>
      <c r="E38" s="8"/>
      <c r="F38" s="8">
        <v>2425</v>
      </c>
      <c r="G38" s="8"/>
      <c r="H38" s="5">
        <f t="shared" si="4"/>
        <v>-400</v>
      </c>
    </row>
    <row r="39" s="5" customFormat="1" spans="1:8">
      <c r="A39" s="8">
        <v>2074</v>
      </c>
      <c r="B39" s="9">
        <v>4774</v>
      </c>
      <c r="C39" s="10">
        <f t="shared" si="0"/>
        <v>2375.42</v>
      </c>
      <c r="D39" s="8">
        <f t="shared" si="3"/>
        <v>4275</v>
      </c>
      <c r="E39" s="8"/>
      <c r="F39" s="8">
        <v>2275</v>
      </c>
      <c r="G39" s="8"/>
      <c r="H39" s="5">
        <f t="shared" si="4"/>
        <v>-150</v>
      </c>
    </row>
    <row r="40" s="5" customFormat="1" spans="1:8">
      <c r="A40" s="8">
        <v>2076</v>
      </c>
      <c r="B40" s="9">
        <v>6182</v>
      </c>
      <c r="C40" s="10">
        <f t="shared" si="0"/>
        <v>3324.08</v>
      </c>
      <c r="D40" s="8">
        <f t="shared" si="3"/>
        <v>5275</v>
      </c>
      <c r="E40" s="8"/>
      <c r="F40" s="8">
        <v>3275</v>
      </c>
      <c r="G40" s="8"/>
      <c r="H40" s="5">
        <f t="shared" si="4"/>
        <v>1000</v>
      </c>
    </row>
    <row r="41" s="5" customFormat="1" spans="1:8">
      <c r="A41" s="8">
        <v>2078</v>
      </c>
      <c r="B41" s="9">
        <v>5242</v>
      </c>
      <c r="C41" s="10">
        <f t="shared" si="0"/>
        <v>2222.74</v>
      </c>
      <c r="D41" s="8">
        <f t="shared" si="3"/>
        <v>4225</v>
      </c>
      <c r="E41" s="8"/>
      <c r="F41" s="8">
        <v>2225</v>
      </c>
      <c r="G41" s="8"/>
      <c r="H41" s="5">
        <f t="shared" si="4"/>
        <v>-1050</v>
      </c>
    </row>
    <row r="42" s="5" customFormat="1" spans="1:8">
      <c r="A42" s="8">
        <v>2080</v>
      </c>
      <c r="B42" s="9">
        <v>6224</v>
      </c>
      <c r="C42" s="10">
        <f t="shared" si="0"/>
        <v>2596.4</v>
      </c>
      <c r="D42" s="8">
        <f t="shared" si="3"/>
        <v>4650</v>
      </c>
      <c r="E42" s="8"/>
      <c r="F42" s="8">
        <v>2650</v>
      </c>
      <c r="G42" s="8"/>
      <c r="H42" s="5">
        <f t="shared" si="4"/>
        <v>425</v>
      </c>
    </row>
    <row r="43" s="5" customFormat="1" spans="1:8">
      <c r="A43" s="8">
        <v>2082</v>
      </c>
      <c r="B43" s="9">
        <v>6554</v>
      </c>
      <c r="C43" s="10">
        <f t="shared" si="0"/>
        <v>3320.06</v>
      </c>
      <c r="D43" s="8">
        <f t="shared" si="3"/>
        <v>5425</v>
      </c>
      <c r="E43" s="8"/>
      <c r="F43" s="8">
        <v>3425</v>
      </c>
      <c r="G43" s="8"/>
      <c r="H43" s="5">
        <f t="shared" si="4"/>
        <v>775</v>
      </c>
    </row>
    <row r="44" s="5" customFormat="1" spans="1:8">
      <c r="A44" s="8">
        <v>2084</v>
      </c>
      <c r="B44" s="9">
        <v>6735</v>
      </c>
      <c r="C44" s="10">
        <f t="shared" si="0"/>
        <v>2943.72</v>
      </c>
      <c r="D44" s="8">
        <f t="shared" si="3"/>
        <v>5100</v>
      </c>
      <c r="E44" s="8"/>
      <c r="F44" s="8">
        <v>3100</v>
      </c>
      <c r="G44" s="8"/>
      <c r="H44" s="5">
        <f t="shared" si="4"/>
        <v>-325</v>
      </c>
    </row>
    <row r="45" s="5" customFormat="1" spans="1:8">
      <c r="A45" s="8">
        <v>2086</v>
      </c>
      <c r="B45" s="9">
        <v>6391</v>
      </c>
      <c r="C45" s="10">
        <f t="shared" si="0"/>
        <v>1567.38</v>
      </c>
      <c r="D45" s="8">
        <f t="shared" si="3"/>
        <v>3775</v>
      </c>
      <c r="E45" s="8"/>
      <c r="F45" s="8">
        <v>1775</v>
      </c>
      <c r="G45" s="8"/>
      <c r="H45" s="5">
        <f t="shared" si="4"/>
        <v>-1325</v>
      </c>
    </row>
    <row r="46" s="5" customFormat="1" spans="1:8">
      <c r="A46" s="8">
        <v>2088</v>
      </c>
      <c r="B46" s="9">
        <v>5782</v>
      </c>
      <c r="C46" s="10">
        <f t="shared" si="0"/>
        <v>341.04</v>
      </c>
      <c r="D46" s="8">
        <f t="shared" si="3"/>
        <v>2600</v>
      </c>
      <c r="E46" s="8"/>
      <c r="F46" s="8">
        <v>600</v>
      </c>
      <c r="G46" s="8">
        <f>F46+2000</f>
        <v>2600</v>
      </c>
      <c r="H46" s="5">
        <f t="shared" si="4"/>
        <v>-1175</v>
      </c>
    </row>
    <row r="47" s="5" customFormat="1" spans="1:8">
      <c r="A47" s="8">
        <v>2090</v>
      </c>
      <c r="B47" s="9">
        <v>4627</v>
      </c>
      <c r="C47" s="10">
        <f t="shared" si="0"/>
        <v>-810.3</v>
      </c>
      <c r="D47" s="8">
        <f t="shared" ref="D47:D53" si="5">G47</f>
        <v>1500</v>
      </c>
      <c r="E47" s="8"/>
      <c r="F47" s="8"/>
      <c r="G47" s="8">
        <v>1500</v>
      </c>
      <c r="H47" s="5">
        <f t="shared" si="4"/>
        <v>-1100</v>
      </c>
    </row>
    <row r="48" s="5" customFormat="1" spans="1:8">
      <c r="A48" s="8">
        <v>2092</v>
      </c>
      <c r="B48" s="9">
        <v>3895</v>
      </c>
      <c r="C48" s="10">
        <f t="shared" si="0"/>
        <v>-1586.64</v>
      </c>
      <c r="D48" s="8">
        <f t="shared" si="5"/>
        <v>775</v>
      </c>
      <c r="E48" s="8"/>
      <c r="F48" s="8"/>
      <c r="G48" s="8">
        <v>775</v>
      </c>
      <c r="H48" s="5">
        <f t="shared" si="4"/>
        <v>-725</v>
      </c>
    </row>
    <row r="49" s="5" customFormat="1" spans="1:8">
      <c r="A49" s="8">
        <v>2094</v>
      </c>
      <c r="B49" s="9">
        <v>4802</v>
      </c>
      <c r="C49" s="10">
        <f t="shared" si="0"/>
        <v>-637.98</v>
      </c>
      <c r="D49" s="8">
        <f t="shared" si="5"/>
        <v>1775</v>
      </c>
      <c r="E49" s="8"/>
      <c r="F49" s="8"/>
      <c r="G49" s="8">
        <v>1775</v>
      </c>
      <c r="H49" s="5">
        <f t="shared" si="4"/>
        <v>1000</v>
      </c>
    </row>
    <row r="50" s="5" customFormat="1" spans="1:8">
      <c r="A50" s="8">
        <v>2096</v>
      </c>
      <c r="B50" s="9">
        <v>4618</v>
      </c>
      <c r="C50" s="10">
        <f t="shared" si="0"/>
        <v>-1014.32</v>
      </c>
      <c r="D50" s="8">
        <f t="shared" si="5"/>
        <v>1450</v>
      </c>
      <c r="E50" s="8"/>
      <c r="F50" s="8"/>
      <c r="G50" s="8">
        <v>1450</v>
      </c>
      <c r="H50" s="5">
        <f t="shared" si="4"/>
        <v>-325</v>
      </c>
    </row>
    <row r="51" s="5" customFormat="1" spans="1:8">
      <c r="A51" s="8">
        <v>2098</v>
      </c>
      <c r="B51" s="9">
        <v>5805</v>
      </c>
      <c r="C51" s="10">
        <f t="shared" si="0"/>
        <v>-240.66</v>
      </c>
      <c r="D51" s="8">
        <f t="shared" si="5"/>
        <v>2275</v>
      </c>
      <c r="E51" s="8"/>
      <c r="F51" s="8"/>
      <c r="G51" s="8">
        <v>2275</v>
      </c>
      <c r="H51" s="5">
        <f t="shared" si="4"/>
        <v>825</v>
      </c>
    </row>
    <row r="52" s="5" customFormat="1" spans="1:8">
      <c r="A52" s="8">
        <v>2100</v>
      </c>
      <c r="B52" s="9">
        <v>6583</v>
      </c>
      <c r="C52" s="10">
        <f t="shared" si="0"/>
        <v>1008</v>
      </c>
      <c r="D52" s="8">
        <f t="shared" si="5"/>
        <v>3575</v>
      </c>
      <c r="E52" s="8"/>
      <c r="F52" s="8"/>
      <c r="G52" s="8">
        <v>3575</v>
      </c>
      <c r="H52" s="5">
        <f t="shared" si="4"/>
        <v>1300</v>
      </c>
    </row>
    <row r="53" s="5" customFormat="1" spans="1:8">
      <c r="A53" s="8">
        <v>2102</v>
      </c>
      <c r="B53" s="9">
        <v>8164</v>
      </c>
      <c r="C53" s="10">
        <f t="shared" si="0"/>
        <v>2406.66</v>
      </c>
      <c r="D53" s="8">
        <f t="shared" si="5"/>
        <v>5025</v>
      </c>
      <c r="E53" s="8"/>
      <c r="F53" s="8"/>
      <c r="G53" s="8">
        <v>5025</v>
      </c>
      <c r="H53" s="5">
        <f t="shared" si="4"/>
        <v>1450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zoomScale="85" zoomScaleNormal="85" workbookViewId="0">
      <selection activeCell="L26" sqref="L26"/>
    </sheetView>
  </sheetViews>
  <sheetFormatPr defaultColWidth="9" defaultRowHeight="13.5"/>
  <cols>
    <col min="1" max="1" width="9" style="1"/>
    <col min="2" max="2" width="13.75" style="1"/>
    <col min="3" max="3" width="9" style="1" customWidth="1"/>
    <col min="4" max="13" width="9" style="1"/>
    <col min="14" max="14" width="9.375" style="1"/>
    <col min="15" max="16384" width="9" style="1"/>
  </cols>
  <sheetData>
    <row r="1" s="1" customFormat="1" spans="1:12">
      <c r="A1" s="2"/>
      <c r="B1" s="2" t="s">
        <v>1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105</v>
      </c>
      <c r="J1" s="2" t="s">
        <v>21</v>
      </c>
      <c r="L1" s="1">
        <v>8000</v>
      </c>
    </row>
    <row r="2" s="1" customFormat="1" spans="1:14">
      <c r="A2" s="2" t="s">
        <v>22</v>
      </c>
      <c r="B2" s="2">
        <v>175</v>
      </c>
      <c r="C2" s="3">
        <v>1</v>
      </c>
      <c r="D2" s="3">
        <v>1</v>
      </c>
      <c r="E2" s="3">
        <v>0</v>
      </c>
      <c r="F2" s="3">
        <v>1</v>
      </c>
      <c r="G2" s="3">
        <v>0</v>
      </c>
      <c r="H2" s="3">
        <v>0</v>
      </c>
      <c r="I2" s="3">
        <v>1</v>
      </c>
      <c r="J2" s="3">
        <v>14401</v>
      </c>
      <c r="K2" s="4"/>
      <c r="L2" s="1">
        <v>8175</v>
      </c>
      <c r="N2" s="1">
        <f>B2-32.13</f>
        <v>142.87</v>
      </c>
    </row>
    <row r="3" s="1" customFormat="1" spans="1:14">
      <c r="A3" s="2" t="s">
        <v>23</v>
      </c>
      <c r="B3" s="2">
        <v>-325</v>
      </c>
      <c r="C3" s="3">
        <v>1</v>
      </c>
      <c r="D3" s="3">
        <v>0</v>
      </c>
      <c r="E3" s="3">
        <v>1</v>
      </c>
      <c r="F3" s="3">
        <v>0</v>
      </c>
      <c r="G3" s="3">
        <v>1</v>
      </c>
      <c r="H3" s="3">
        <v>1</v>
      </c>
      <c r="I3" s="3">
        <v>0</v>
      </c>
      <c r="J3" s="3">
        <v>13401</v>
      </c>
      <c r="K3" s="4"/>
      <c r="L3" s="1">
        <v>7850</v>
      </c>
      <c r="N3" s="1">
        <f t="shared" ref="N3:N26" si="0">B3-32.13</f>
        <v>-357.13</v>
      </c>
    </row>
    <row r="4" s="1" customFormat="1" spans="1:14">
      <c r="A4" s="2" t="s">
        <v>24</v>
      </c>
      <c r="B4" s="2">
        <v>-975</v>
      </c>
      <c r="C4" s="3">
        <v>1</v>
      </c>
      <c r="D4" s="3">
        <v>1</v>
      </c>
      <c r="E4" s="3">
        <v>1</v>
      </c>
      <c r="F4" s="3">
        <v>1</v>
      </c>
      <c r="G4" s="3">
        <v>0</v>
      </c>
      <c r="H4" s="3">
        <v>0</v>
      </c>
      <c r="I4" s="3">
        <v>1</v>
      </c>
      <c r="J4" s="3">
        <v>14901</v>
      </c>
      <c r="K4" s="4"/>
      <c r="L4" s="1">
        <v>6875</v>
      </c>
      <c r="N4" s="1">
        <f t="shared" si="0"/>
        <v>-1007.13</v>
      </c>
    </row>
    <row r="5" s="1" customFormat="1" spans="1:14">
      <c r="A5" s="2" t="s">
        <v>25</v>
      </c>
      <c r="B5" s="2">
        <v>-750</v>
      </c>
      <c r="C5" s="3">
        <v>1</v>
      </c>
      <c r="D5" s="3">
        <v>1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12901</v>
      </c>
      <c r="K5" s="4"/>
      <c r="L5" s="1">
        <v>6125</v>
      </c>
      <c r="N5" s="1">
        <f t="shared" si="0"/>
        <v>-782.13</v>
      </c>
    </row>
    <row r="6" s="1" customFormat="1" spans="1:14">
      <c r="A6" s="2" t="s">
        <v>26</v>
      </c>
      <c r="B6" s="2">
        <v>-25</v>
      </c>
      <c r="C6" s="3">
        <v>1</v>
      </c>
      <c r="D6" s="3">
        <v>0</v>
      </c>
      <c r="E6" s="3">
        <v>0</v>
      </c>
      <c r="F6" s="3">
        <v>1</v>
      </c>
      <c r="G6" s="3">
        <v>1</v>
      </c>
      <c r="H6" s="3">
        <v>1</v>
      </c>
      <c r="I6" s="3">
        <v>1</v>
      </c>
      <c r="J6" s="3">
        <v>13901</v>
      </c>
      <c r="K6" s="4"/>
      <c r="L6" s="1">
        <v>6100</v>
      </c>
      <c r="N6" s="1">
        <f t="shared" si="0"/>
        <v>-57.13</v>
      </c>
    </row>
    <row r="7" s="1" customFormat="1" spans="1:14">
      <c r="A7" s="2" t="s">
        <v>27</v>
      </c>
      <c r="B7" s="2">
        <v>-475</v>
      </c>
      <c r="C7" s="3">
        <v>1</v>
      </c>
      <c r="D7" s="3">
        <v>0</v>
      </c>
      <c r="E7" s="3">
        <v>0</v>
      </c>
      <c r="F7" s="3">
        <v>1</v>
      </c>
      <c r="G7" s="3">
        <v>1</v>
      </c>
      <c r="H7" s="3">
        <v>1</v>
      </c>
      <c r="I7" s="3">
        <v>0</v>
      </c>
      <c r="J7" s="3">
        <v>14901</v>
      </c>
      <c r="K7" s="4"/>
      <c r="L7" s="1">
        <v>5625</v>
      </c>
      <c r="N7" s="1">
        <f t="shared" si="0"/>
        <v>-507.13</v>
      </c>
    </row>
    <row r="8" s="1" customFormat="1" spans="1:14">
      <c r="A8" s="2" t="s">
        <v>28</v>
      </c>
      <c r="B8" s="2">
        <v>575</v>
      </c>
      <c r="C8" s="3">
        <v>1</v>
      </c>
      <c r="D8" s="3">
        <v>1</v>
      </c>
      <c r="E8" s="3">
        <v>1</v>
      </c>
      <c r="F8" s="3">
        <v>0</v>
      </c>
      <c r="G8" s="3">
        <v>0</v>
      </c>
      <c r="H8" s="3">
        <v>0</v>
      </c>
      <c r="I8" s="3">
        <v>0</v>
      </c>
      <c r="J8" s="3">
        <v>16401</v>
      </c>
      <c r="K8" s="4"/>
      <c r="L8" s="1">
        <v>6200</v>
      </c>
      <c r="N8" s="1">
        <f t="shared" si="0"/>
        <v>542.87</v>
      </c>
    </row>
    <row r="9" s="1" customFormat="1" spans="1:14">
      <c r="A9" s="2" t="s">
        <v>29</v>
      </c>
      <c r="B9" s="2">
        <v>-1900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0</v>
      </c>
      <c r="I9" s="3">
        <v>0</v>
      </c>
      <c r="J9" s="3">
        <v>11901</v>
      </c>
      <c r="K9" s="4"/>
      <c r="L9" s="1">
        <v>4300</v>
      </c>
      <c r="N9" s="1">
        <f t="shared" si="0"/>
        <v>-1932.13</v>
      </c>
    </row>
    <row r="10" s="1" customFormat="1" spans="1:14">
      <c r="A10" s="2" t="s">
        <v>30</v>
      </c>
      <c r="B10" s="2">
        <v>125</v>
      </c>
      <c r="C10" s="3">
        <v>1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10401</v>
      </c>
      <c r="K10" s="4"/>
      <c r="L10" s="1">
        <v>4425</v>
      </c>
      <c r="N10" s="1">
        <f t="shared" si="0"/>
        <v>92.87</v>
      </c>
    </row>
    <row r="11" s="1" customFormat="1" spans="1:14">
      <c r="A11" s="2" t="s">
        <v>31</v>
      </c>
      <c r="B11" s="2">
        <v>100</v>
      </c>
      <c r="C11" s="3">
        <v>1</v>
      </c>
      <c r="D11" s="3">
        <v>0</v>
      </c>
      <c r="E11" s="3">
        <v>1</v>
      </c>
      <c r="F11" s="3">
        <v>1</v>
      </c>
      <c r="G11" s="3">
        <v>0</v>
      </c>
      <c r="H11" s="3">
        <v>1</v>
      </c>
      <c r="I11" s="3">
        <v>1</v>
      </c>
      <c r="J11" s="3">
        <v>17401</v>
      </c>
      <c r="K11" s="4"/>
      <c r="L11" s="1">
        <v>4525</v>
      </c>
      <c r="N11" s="1">
        <f t="shared" si="0"/>
        <v>67.87</v>
      </c>
    </row>
    <row r="12" s="1" customFormat="1" spans="1:14">
      <c r="A12" s="2" t="s">
        <v>32</v>
      </c>
      <c r="B12" s="2">
        <v>0</v>
      </c>
      <c r="C12" s="3">
        <v>1</v>
      </c>
      <c r="D12" s="3">
        <v>0</v>
      </c>
      <c r="E12" s="3">
        <v>0</v>
      </c>
      <c r="F12" s="3">
        <v>1</v>
      </c>
      <c r="G12" s="3">
        <v>0</v>
      </c>
      <c r="H12" s="3">
        <v>1</v>
      </c>
      <c r="I12" s="3">
        <v>1</v>
      </c>
      <c r="J12" s="3">
        <v>12901</v>
      </c>
      <c r="K12" s="4"/>
      <c r="L12" s="1">
        <v>4525</v>
      </c>
      <c r="N12" s="1">
        <f t="shared" si="0"/>
        <v>-32.13</v>
      </c>
    </row>
    <row r="13" s="1" customFormat="1" spans="1:14">
      <c r="A13" s="2" t="s">
        <v>33</v>
      </c>
      <c r="B13" s="2">
        <v>300</v>
      </c>
      <c r="C13" s="3">
        <v>1</v>
      </c>
      <c r="D13" s="3">
        <v>1</v>
      </c>
      <c r="E13" s="3">
        <v>1</v>
      </c>
      <c r="F13" s="3">
        <v>0</v>
      </c>
      <c r="G13" s="3">
        <v>0</v>
      </c>
      <c r="H13" s="3">
        <v>0</v>
      </c>
      <c r="I13" s="3">
        <v>1</v>
      </c>
      <c r="J13" s="3">
        <v>12401</v>
      </c>
      <c r="K13" s="4"/>
      <c r="L13" s="1">
        <v>4825</v>
      </c>
      <c r="N13" s="1">
        <f t="shared" si="0"/>
        <v>267.87</v>
      </c>
    </row>
    <row r="14" s="1" customFormat="1" spans="1:14">
      <c r="A14" s="2" t="s">
        <v>34</v>
      </c>
      <c r="B14" s="2">
        <v>1000</v>
      </c>
      <c r="C14" s="3">
        <v>1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12401</v>
      </c>
      <c r="K14" s="4"/>
      <c r="L14" s="1">
        <v>5825</v>
      </c>
      <c r="N14" s="1">
        <f t="shared" si="0"/>
        <v>967.87</v>
      </c>
    </row>
    <row r="15" s="1" customFormat="1" spans="1:14">
      <c r="A15" s="2" t="s">
        <v>35</v>
      </c>
      <c r="B15" s="2">
        <v>175</v>
      </c>
      <c r="C15" s="3">
        <v>1</v>
      </c>
      <c r="D15" s="3">
        <v>0</v>
      </c>
      <c r="E15" s="3">
        <v>0</v>
      </c>
      <c r="F15" s="3">
        <v>1</v>
      </c>
      <c r="G15" s="3">
        <v>0</v>
      </c>
      <c r="H15" s="3">
        <v>1</v>
      </c>
      <c r="I15" s="3">
        <v>0</v>
      </c>
      <c r="J15" s="3">
        <v>11901</v>
      </c>
      <c r="K15" s="4"/>
      <c r="L15" s="1">
        <v>6000</v>
      </c>
      <c r="N15" s="1">
        <f t="shared" si="0"/>
        <v>142.87</v>
      </c>
    </row>
    <row r="16" s="1" customFormat="1" spans="1:14">
      <c r="A16" s="2" t="s">
        <v>36</v>
      </c>
      <c r="B16" s="2">
        <v>950</v>
      </c>
      <c r="C16" s="3">
        <v>1</v>
      </c>
      <c r="D16" s="3">
        <v>0</v>
      </c>
      <c r="E16" s="3">
        <v>1</v>
      </c>
      <c r="F16" s="3">
        <v>0</v>
      </c>
      <c r="G16" s="3">
        <v>0</v>
      </c>
      <c r="H16" s="3">
        <v>1</v>
      </c>
      <c r="I16" s="3">
        <v>0</v>
      </c>
      <c r="J16" s="3">
        <v>12901</v>
      </c>
      <c r="K16" s="4"/>
      <c r="L16" s="1">
        <v>6950</v>
      </c>
      <c r="N16" s="1">
        <f t="shared" si="0"/>
        <v>917.87</v>
      </c>
    </row>
    <row r="17" s="1" customFormat="1" spans="1:14">
      <c r="A17" s="2" t="s">
        <v>37</v>
      </c>
      <c r="B17" s="2">
        <v>-475</v>
      </c>
      <c r="C17" s="3">
        <v>1</v>
      </c>
      <c r="D17" s="3">
        <v>1</v>
      </c>
      <c r="E17" s="3">
        <v>1</v>
      </c>
      <c r="F17" s="3">
        <v>1</v>
      </c>
      <c r="G17" s="3">
        <v>0</v>
      </c>
      <c r="H17" s="3">
        <v>0</v>
      </c>
      <c r="I17" s="3">
        <v>1</v>
      </c>
      <c r="J17" s="3">
        <v>14401</v>
      </c>
      <c r="K17" s="4"/>
      <c r="L17" s="1">
        <v>6475</v>
      </c>
      <c r="N17" s="1">
        <f t="shared" si="0"/>
        <v>-507.13</v>
      </c>
    </row>
    <row r="18" s="1" customFormat="1" spans="1:14">
      <c r="A18" s="2" t="s">
        <v>38</v>
      </c>
      <c r="B18" s="2">
        <v>-1475</v>
      </c>
      <c r="C18" s="3">
        <v>1</v>
      </c>
      <c r="D18" s="3">
        <v>0</v>
      </c>
      <c r="E18" s="3">
        <v>1</v>
      </c>
      <c r="F18" s="3">
        <v>1</v>
      </c>
      <c r="G18" s="3">
        <v>1</v>
      </c>
      <c r="H18" s="3">
        <v>0</v>
      </c>
      <c r="I18" s="3">
        <v>1</v>
      </c>
      <c r="J18" s="3">
        <v>9901</v>
      </c>
      <c r="K18" s="4"/>
      <c r="L18" s="1">
        <v>5000</v>
      </c>
      <c r="N18" s="1">
        <f t="shared" si="0"/>
        <v>-1507.13</v>
      </c>
    </row>
    <row r="19" s="1" customFormat="1" spans="1:14">
      <c r="A19" s="2" t="s">
        <v>39</v>
      </c>
      <c r="B19" s="2">
        <v>-1075</v>
      </c>
      <c r="C19" s="3">
        <v>1</v>
      </c>
      <c r="D19" s="3">
        <v>1</v>
      </c>
      <c r="E19" s="3">
        <v>1</v>
      </c>
      <c r="F19" s="3">
        <v>1</v>
      </c>
      <c r="G19" s="3">
        <v>0</v>
      </c>
      <c r="H19" s="3">
        <v>1</v>
      </c>
      <c r="I19" s="3">
        <v>1</v>
      </c>
      <c r="J19" s="3">
        <v>14401</v>
      </c>
      <c r="K19" s="4"/>
      <c r="L19" s="1">
        <v>3925</v>
      </c>
      <c r="N19" s="1">
        <f t="shared" si="0"/>
        <v>-1107.13</v>
      </c>
    </row>
    <row r="20" s="1" customFormat="1" spans="1:14">
      <c r="A20" s="2" t="s">
        <v>40</v>
      </c>
      <c r="B20" s="2">
        <v>-1600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0</v>
      </c>
      <c r="J20" s="3">
        <v>13401</v>
      </c>
      <c r="K20" s="4"/>
      <c r="L20" s="1">
        <v>2325</v>
      </c>
      <c r="N20" s="1">
        <f t="shared" si="0"/>
        <v>-1632.13</v>
      </c>
    </row>
    <row r="21" s="1" customFormat="1" spans="1:14">
      <c r="A21" s="2" t="s">
        <v>41</v>
      </c>
      <c r="B21" s="2">
        <v>500</v>
      </c>
      <c r="C21" s="3">
        <v>1</v>
      </c>
      <c r="D21" s="3">
        <v>0</v>
      </c>
      <c r="E21" s="3">
        <v>0</v>
      </c>
      <c r="F21" s="3">
        <v>0</v>
      </c>
      <c r="G21" s="3">
        <v>0</v>
      </c>
      <c r="H21" s="3">
        <v>1</v>
      </c>
      <c r="I21" s="3">
        <v>1</v>
      </c>
      <c r="J21" s="3">
        <v>10401</v>
      </c>
      <c r="K21" s="4"/>
      <c r="L21" s="1">
        <v>2825</v>
      </c>
      <c r="N21" s="1">
        <f t="shared" si="0"/>
        <v>467.87</v>
      </c>
    </row>
    <row r="22" s="1" customFormat="1" spans="1:14">
      <c r="A22" s="2" t="s">
        <v>42</v>
      </c>
      <c r="B22" s="2">
        <v>-50</v>
      </c>
      <c r="C22" s="3">
        <v>1</v>
      </c>
      <c r="D22" s="3">
        <v>1</v>
      </c>
      <c r="E22" s="3">
        <v>1</v>
      </c>
      <c r="F22" s="3">
        <v>0</v>
      </c>
      <c r="G22" s="3">
        <v>0</v>
      </c>
      <c r="H22" s="3">
        <v>0</v>
      </c>
      <c r="I22" s="3">
        <v>0</v>
      </c>
      <c r="J22" s="3">
        <v>13901</v>
      </c>
      <c r="K22" s="4"/>
      <c r="L22" s="1">
        <v>2775</v>
      </c>
      <c r="N22" s="1">
        <f t="shared" si="0"/>
        <v>-82.13</v>
      </c>
    </row>
    <row r="23" s="1" customFormat="1" spans="1:14">
      <c r="A23" s="2" t="s">
        <v>43</v>
      </c>
      <c r="B23" s="2">
        <v>-975</v>
      </c>
      <c r="C23" s="3">
        <v>1</v>
      </c>
      <c r="D23" s="3">
        <v>0</v>
      </c>
      <c r="E23" s="3">
        <v>1</v>
      </c>
      <c r="F23" s="3">
        <v>1</v>
      </c>
      <c r="G23" s="3">
        <v>1</v>
      </c>
      <c r="H23" s="3">
        <v>0</v>
      </c>
      <c r="I23" s="3">
        <v>0</v>
      </c>
      <c r="J23" s="3">
        <v>9901</v>
      </c>
      <c r="K23" s="4"/>
      <c r="L23" s="1">
        <v>1800</v>
      </c>
      <c r="N23" s="1">
        <f t="shared" si="0"/>
        <v>-1007.13</v>
      </c>
    </row>
    <row r="24" s="1" customFormat="1" spans="1:14">
      <c r="A24" s="2" t="s">
        <v>44</v>
      </c>
      <c r="B24" s="2">
        <v>100</v>
      </c>
      <c r="C24" s="3">
        <v>1</v>
      </c>
      <c r="D24" s="3">
        <v>0</v>
      </c>
      <c r="E24" s="3">
        <v>1</v>
      </c>
      <c r="F24" s="3">
        <v>0</v>
      </c>
      <c r="G24" s="3">
        <v>0</v>
      </c>
      <c r="H24" s="3">
        <v>1</v>
      </c>
      <c r="I24" s="3">
        <v>1</v>
      </c>
      <c r="J24" s="3">
        <v>13901</v>
      </c>
      <c r="K24" s="4"/>
      <c r="L24" s="1">
        <v>1900</v>
      </c>
      <c r="N24" s="1">
        <f t="shared" si="0"/>
        <v>67.87</v>
      </c>
    </row>
    <row r="25" s="1" customFormat="1" spans="1:14">
      <c r="A25" s="2" t="s">
        <v>45</v>
      </c>
      <c r="B25" s="2">
        <v>-800</v>
      </c>
      <c r="C25" s="3">
        <v>1</v>
      </c>
      <c r="D25" s="3">
        <v>0</v>
      </c>
      <c r="E25" s="3">
        <v>1</v>
      </c>
      <c r="F25" s="3">
        <v>1</v>
      </c>
      <c r="G25" s="3">
        <v>0</v>
      </c>
      <c r="H25" s="3">
        <v>1</v>
      </c>
      <c r="I25" s="3">
        <v>1</v>
      </c>
      <c r="J25" s="3">
        <v>16401</v>
      </c>
      <c r="K25" s="4"/>
      <c r="L25" s="1">
        <v>1100</v>
      </c>
      <c r="N25" s="1">
        <f t="shared" si="0"/>
        <v>-832.13</v>
      </c>
    </row>
    <row r="26" s="1" customFormat="1" spans="1:14">
      <c r="A26" s="2" t="s">
        <v>46</v>
      </c>
      <c r="B26" s="2">
        <v>-350</v>
      </c>
      <c r="C26" s="3">
        <v>1</v>
      </c>
      <c r="D26" s="3">
        <v>1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15901</v>
      </c>
      <c r="K26" s="4"/>
      <c r="L26" s="1">
        <v>775</v>
      </c>
      <c r="N26" s="1">
        <f t="shared" si="0"/>
        <v>-382.13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汇总</vt:lpstr>
      <vt:lpstr>破阵率</vt:lpstr>
      <vt:lpstr>额外阳光消耗</vt:lpstr>
      <vt:lpstr>模型参数</vt:lpstr>
      <vt:lpstr>折线对比1</vt:lpstr>
      <vt:lpstr>样本</vt:lpstr>
      <vt:lpstr>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2025-02-03T01:50:00Z</dcterms:created>
  <dcterms:modified xsi:type="dcterms:W3CDTF">2025-05-04T12:03:00Z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2052-11.1.0.14036</vt:lpwstr>
  </property>
</Properties>
</file>