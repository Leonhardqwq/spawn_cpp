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75" windowHeight="7710" activeTab="3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<sst xmlns="http://schemas.openxmlformats.org/spreadsheetml/2006/main" count="214" uniqueCount="66">
  <si>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</si>
  <si>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</si>
  <si>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</si>
  <si>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</si>
  <si>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</si>
  <si>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</si>
  <si>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</si>
  <si>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</si>
  <si>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</si>
  <si>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</si>
  <si>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</si>
  <si>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</si>
  <si>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</si>
  <si>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</si>
  <si>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</si>
  <si>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</si>
  <si>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</si>
  <si>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</si>
  <si>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</si>
  <si>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</si>
  <si>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</si>
  <si>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</si>
  <si>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</si>
  <si>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</si>
  <si>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</si>
  <si>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</si>
  <si>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</si>
  <si>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</si>
  <si>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</si>
  <si>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</si>
  <si>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</si>
  <si>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</si>
  <si>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</si>
  <si>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</si>
  <si>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</si>
  <si>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</si>
  <si>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</si>
  <si>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</si>
  <si>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</si>
  <si>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</si>
  <si>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</si>
  <si>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</si>
  <si>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</si>
  <si>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</si>
  <si>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</si>
  <si>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</si>
  <si>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</si>
  <si>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</si>
  <si>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</si>
  <si>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</si>
  <si>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</si>
  <si>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</si>
  <si>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红眼:橄榄</t>
  </si>
  <si>
    <t>橄榄:密度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</si>
  <si>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</si>
  <si>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</si>
  <si>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</si>
  <si>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</si>
  <si>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</si>
  <si>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</si>
  <si>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</si>
  <si>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</si>
  <si>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</si>
  <si>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</si>
  <si>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553.124999999999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</si>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</sst>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4000</c:v>
                </c:pt>
                <c:pt idx="1">
                  <c:v>4526.61</c:v>
                </c:pt>
                <c:pt idx="2">
                  <c:v>4728.22</c:v>
                </c:pt>
                <c:pt idx="3">
                  <c:v>4654.83</c:v>
                </c:pt>
                <c:pt idx="4">
                  <c:v>4206.44</c:v>
                </c:pt>
                <c:pt idx="5">
                  <c:v>3983.05</c:v>
                </c:pt>
                <c:pt idx="6">
                  <c:v>4559.66</c:v>
                </c:pt>
                <c:pt idx="7">
                  <c:v>3786.27</c:v>
                </c:pt>
                <c:pt idx="8">
                  <c:v>3187.88</c:v>
                </c:pt>
                <c:pt idx="9">
                  <c:v>3414.49</c:v>
                </c:pt>
                <c:pt idx="10">
                  <c:v>3066.1</c:v>
                </c:pt>
                <c:pt idx="11">
                  <c:v>3742.71</c:v>
                </c:pt>
                <c:pt idx="12">
                  <c:v>4419.32</c:v>
                </c:pt>
                <c:pt idx="13">
                  <c:v>4020.93</c:v>
                </c:pt>
                <c:pt idx="14">
                  <c:v>4747.54</c:v>
                </c:pt>
                <c:pt idx="15">
                  <c:v>5299.15</c:v>
                </c:pt>
                <c:pt idx="16">
                  <c:v>4800.76</c:v>
                </c:pt>
                <c:pt idx="17">
                  <c:v>4227.37</c:v>
                </c:pt>
                <c:pt idx="18">
                  <c:v>3828.98</c:v>
                </c:pt>
                <c:pt idx="19">
                  <c:v>2930.59</c:v>
                </c:pt>
                <c:pt idx="20">
                  <c:v>3507.2</c:v>
                </c:pt>
                <c:pt idx="21">
                  <c:v>3008.81</c:v>
                </c:pt>
                <c:pt idx="22">
                  <c:v>2635.42</c:v>
                </c:pt>
                <c:pt idx="23">
                  <c:v>2037.03</c:v>
                </c:pt>
                <c:pt idx="24">
                  <c:v>2763.64</c:v>
                </c:pt>
                <c:pt idx="25">
                  <c:v>2990.25</c:v>
                </c:pt>
                <c:pt idx="26">
                  <c:v>2841.86</c:v>
                </c:pt>
                <c:pt idx="27">
                  <c:v>3443.47</c:v>
                </c:pt>
                <c:pt idx="28">
                  <c:v>3120.08</c:v>
                </c:pt>
                <c:pt idx="29">
                  <c:v>2646.69</c:v>
                </c:pt>
                <c:pt idx="30">
                  <c:v>3223.3</c:v>
                </c:pt>
                <c:pt idx="31">
                  <c:v>3699.91</c:v>
                </c:pt>
                <c:pt idx="32">
                  <c:v>3026.52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4000</c:v>
                </c:pt>
                <c:pt idx="1">
                  <c:v>4454.735</c:v>
                </c:pt>
                <c:pt idx="2">
                  <c:v>4728.22</c:v>
                </c:pt>
                <c:pt idx="3">
                  <c:v>4817.33</c:v>
                </c:pt>
                <c:pt idx="4">
                  <c:v>4376.7525</c:v>
                </c:pt>
                <c:pt idx="5">
                  <c:v>4131.4875</c:v>
                </c:pt>
                <c:pt idx="6">
                  <c:v>4737.785</c:v>
                </c:pt>
                <c:pt idx="7">
                  <c:v>3964.395</c:v>
                </c:pt>
                <c:pt idx="8">
                  <c:v>3286.3175</c:v>
                </c:pt>
                <c:pt idx="9">
                  <c:v>3464.49</c:v>
                </c:pt>
                <c:pt idx="10">
                  <c:v>3119.225</c:v>
                </c:pt>
                <c:pt idx="11">
                  <c:v>3825.5225</c:v>
                </c:pt>
                <c:pt idx="12">
                  <c:v>4436.5075</c:v>
                </c:pt>
                <c:pt idx="13">
                  <c:v>4095.93</c:v>
                </c:pt>
                <c:pt idx="14">
                  <c:v>4722.54</c:v>
                </c:pt>
                <c:pt idx="15">
                  <c:v>5233.525</c:v>
                </c:pt>
                <c:pt idx="16">
                  <c:v>4832.01</c:v>
                </c:pt>
                <c:pt idx="17">
                  <c:v>4507.0575</c:v>
                </c:pt>
                <c:pt idx="18">
                  <c:v>4086.7925</c:v>
                </c:pt>
                <c:pt idx="19">
                  <c:v>3129.0275</c:v>
                </c:pt>
                <c:pt idx="20">
                  <c:v>3679.075</c:v>
                </c:pt>
                <c:pt idx="21">
                  <c:v>3182.2475</c:v>
                </c:pt>
                <c:pt idx="22">
                  <c:v>2785.42</c:v>
                </c:pt>
                <c:pt idx="23">
                  <c:v>2180.78</c:v>
                </c:pt>
                <c:pt idx="24">
                  <c:v>2830.8275</c:v>
                </c:pt>
                <c:pt idx="25">
                  <c:v>3177.75</c:v>
                </c:pt>
                <c:pt idx="26">
                  <c:v>3171.5475</c:v>
                </c:pt>
                <c:pt idx="27">
                  <c:v>3702.845</c:v>
                </c:pt>
                <c:pt idx="28">
                  <c:v>3401.33</c:v>
                </c:pt>
                <c:pt idx="29">
                  <c:v>2892.0025</c:v>
                </c:pt>
                <c:pt idx="30">
                  <c:v>3334.2375</c:v>
                </c:pt>
                <c:pt idx="31">
                  <c:v>3888.9725</c:v>
                </c:pt>
                <c:pt idx="32">
                  <c:v>3026.52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5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2e6cd8-6d0b-4b3f-921b-64b113cfac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625</c:v>
                </c:pt>
                <c:pt idx="1">
                  <c:v>300</c:v>
                </c:pt>
                <c:pt idx="2">
                  <c:v>25</c:v>
                </c:pt>
                <c:pt idx="3">
                  <c:v>-350</c:v>
                </c:pt>
                <c:pt idx="4">
                  <c:v>-125</c:v>
                </c:pt>
                <c:pt idx="5">
                  <c:v>675</c:v>
                </c:pt>
                <c:pt idx="6">
                  <c:v>-675</c:v>
                </c:pt>
                <c:pt idx="7">
                  <c:v>-500</c:v>
                </c:pt>
                <c:pt idx="8">
                  <c:v>325</c:v>
                </c:pt>
                <c:pt idx="9">
                  <c:v>-250</c:v>
                </c:pt>
                <c:pt idx="10">
                  <c:v>775</c:v>
                </c:pt>
                <c:pt idx="11">
                  <c:v>775</c:v>
                </c:pt>
                <c:pt idx="12">
                  <c:v>-300</c:v>
                </c:pt>
                <c:pt idx="13">
                  <c:v>825</c:v>
                </c:pt>
                <c:pt idx="14">
                  <c:v>650</c:v>
                </c:pt>
                <c:pt idx="15">
                  <c:v>-400</c:v>
                </c:pt>
                <c:pt idx="16">
                  <c:v>-475</c:v>
                </c:pt>
                <c:pt idx="17">
                  <c:v>-300</c:v>
                </c:pt>
                <c:pt idx="18">
                  <c:v>-800</c:v>
                </c:pt>
                <c:pt idx="19">
                  <c:v>675</c:v>
                </c:pt>
                <c:pt idx="20">
                  <c:v>-400</c:v>
                </c:pt>
                <c:pt idx="21">
                  <c:v>-275</c:v>
                </c:pt>
                <c:pt idx="22">
                  <c:v>-500</c:v>
                </c:pt>
                <c:pt idx="23">
                  <c:v>825</c:v>
                </c:pt>
                <c:pt idx="24">
                  <c:v>325</c:v>
                </c:pt>
                <c:pt idx="25">
                  <c:v>-50</c:v>
                </c:pt>
                <c:pt idx="26">
                  <c:v>700</c:v>
                </c:pt>
                <c:pt idx="27">
                  <c:v>-225</c:v>
                </c:pt>
                <c:pt idx="28">
                  <c:v>-375</c:v>
                </c:pt>
                <c:pt idx="29">
                  <c:v>675</c:v>
                </c:pt>
                <c:pt idx="30">
                  <c:v>575</c:v>
                </c:pt>
                <c:pt idx="31">
                  <c:v>-575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0</c:v>
                </c:pt>
                <c:pt idx="1">
                  <c:v>371.874999999999</c:v>
                </c:pt>
                <c:pt idx="2">
                  <c:v>187.5</c:v>
                </c:pt>
                <c:pt idx="3">
                  <c:v>-342.187499999999</c:v>
                </c:pt>
                <c:pt idx="4">
                  <c:v>-146.874999999999</c:v>
                </c:pt>
                <c:pt idx="5">
                  <c:v>704.6875</c:v>
                </c:pt>
                <c:pt idx="6">
                  <c:v>-675</c:v>
                </c:pt>
                <c:pt idx="7">
                  <c:v>-579.6875</c:v>
                </c:pt>
                <c:pt idx="8">
                  <c:v>276.562499999999</c:v>
                </c:pt>
                <c:pt idx="9">
                  <c:v>-246.874999999999</c:v>
                </c:pt>
                <c:pt idx="10">
                  <c:v>804.6875</c:v>
                </c:pt>
                <c:pt idx="11">
                  <c:v>709.375</c:v>
                </c:pt>
                <c:pt idx="12">
                  <c:v>-242.187499999999</c:v>
                </c:pt>
                <c:pt idx="13">
                  <c:v>724.999999999999</c:v>
                </c:pt>
                <c:pt idx="14">
                  <c:v>609.374999999999</c:v>
                </c:pt>
                <c:pt idx="15">
                  <c:v>-303.124999999999</c:v>
                </c:pt>
                <c:pt idx="16">
                  <c:v>-226.5625</c:v>
                </c:pt>
                <c:pt idx="17">
                  <c:v>-321.875</c:v>
                </c:pt>
                <c:pt idx="18">
                  <c:v>-859.374999999999</c:v>
                </c:pt>
                <c:pt idx="19">
                  <c:v>648.437499999999</c:v>
                </c:pt>
                <c:pt idx="20">
                  <c:v>-398.4375</c:v>
                </c:pt>
                <c:pt idx="21">
                  <c:v>-298.437499999999</c:v>
                </c:pt>
                <c:pt idx="22">
                  <c:v>-506.249999999999</c:v>
                </c:pt>
                <c:pt idx="23">
                  <c:v>748.4375</c:v>
                </c:pt>
                <c:pt idx="24">
                  <c:v>445.312499999999</c:v>
                </c:pt>
                <c:pt idx="25">
                  <c:v>92.1875</c:v>
                </c:pt>
                <c:pt idx="26">
                  <c:v>629.687499999999</c:v>
                </c:pt>
                <c:pt idx="27">
                  <c:v>-203.124999999999</c:v>
                </c:pt>
                <c:pt idx="28">
                  <c:v>-410.937499999999</c:v>
                </c:pt>
                <c:pt idx="29">
                  <c:v>540.624999999999</c:v>
                </c:pt>
                <c:pt idx="30">
                  <c:v>653.124999999999</c:v>
                </c:pt>
                <c:pt idx="31">
                  <c:v>-764.062499999999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697f6-af20-477c-a3a9-84be4ec8fe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57090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678045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85" zoomScaleNormal="85" topLeftCell="A13" workbookViewId="0">
      <selection activeCell="B2" sqref="B2:B33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spans="1:22">
      <c r="A1" s="2" t="s">
        <v>0</v>
      </c>
      <c r="B1" s="2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>
      <c r="A2" s="2" t="s">
        <v>22</v>
      </c>
      <c r="B2" s="2">
        <v>625</v>
      </c>
      <c r="C2" s="27">
        <v>1</v>
      </c>
      <c r="D2" s="27">
        <v>0</v>
      </c>
      <c r="E2" s="27">
        <v>1</v>
      </c>
      <c r="F2" s="27">
        <v>0</v>
      </c>
      <c r="G2" s="27">
        <v>0</v>
      </c>
      <c r="H2" s="27">
        <v>0</v>
      </c>
      <c r="I2" s="27">
        <v>1</v>
      </c>
      <c r="J2" s="27">
        <v>0</v>
      </c>
      <c r="K2" s="27">
        <v>0</v>
      </c>
      <c r="L2" s="27">
        <v>0</v>
      </c>
      <c r="M2" s="27">
        <v>1</v>
      </c>
      <c r="N2" s="27">
        <v>0</v>
      </c>
      <c r="O2" s="27">
        <v>1</v>
      </c>
      <c r="P2" s="27">
        <v>0</v>
      </c>
      <c r="Q2" s="27">
        <v>1</v>
      </c>
      <c r="R2" s="27">
        <v>1</v>
      </c>
      <c r="S2" s="27">
        <v>0</v>
      </c>
      <c r="T2" s="27">
        <v>0</v>
      </c>
      <c r="U2" s="27">
        <v>1</v>
      </c>
      <c r="V2" s="27">
        <v>9401</v>
      </c>
    </row>
    <row r="3" spans="1:22">
      <c r="A3" s="2" t="s">
        <v>23</v>
      </c>
      <c r="B3" s="2">
        <v>300</v>
      </c>
      <c r="C3" s="27">
        <v>1</v>
      </c>
      <c r="D3" s="27">
        <v>0</v>
      </c>
      <c r="E3" s="27">
        <v>1</v>
      </c>
      <c r="F3" s="27">
        <v>0</v>
      </c>
      <c r="G3" s="27">
        <v>1</v>
      </c>
      <c r="H3" s="27">
        <v>1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1</v>
      </c>
      <c r="R3" s="27">
        <v>1</v>
      </c>
      <c r="S3" s="27">
        <v>1</v>
      </c>
      <c r="T3" s="27">
        <v>1</v>
      </c>
      <c r="U3" s="27">
        <v>1</v>
      </c>
      <c r="V3" s="27">
        <v>14901</v>
      </c>
    </row>
    <row r="4" spans="1:22">
      <c r="A4" s="2" t="s">
        <v>24</v>
      </c>
      <c r="B4" s="2">
        <v>25</v>
      </c>
      <c r="C4" s="27">
        <v>1</v>
      </c>
      <c r="D4" s="27">
        <v>0</v>
      </c>
      <c r="E4" s="27">
        <v>0</v>
      </c>
      <c r="F4" s="27">
        <v>1</v>
      </c>
      <c r="G4" s="27">
        <v>0</v>
      </c>
      <c r="H4" s="27">
        <v>1</v>
      </c>
      <c r="I4" s="27">
        <v>1</v>
      </c>
      <c r="J4" s="27">
        <v>0</v>
      </c>
      <c r="K4" s="27">
        <v>0</v>
      </c>
      <c r="L4" s="27">
        <v>0</v>
      </c>
      <c r="M4" s="27">
        <v>1</v>
      </c>
      <c r="N4" s="27">
        <v>0</v>
      </c>
      <c r="O4" s="27">
        <v>0</v>
      </c>
      <c r="P4" s="27">
        <v>0</v>
      </c>
      <c r="Q4" s="27">
        <v>0</v>
      </c>
      <c r="R4" s="27">
        <v>1</v>
      </c>
      <c r="S4" s="27">
        <v>0</v>
      </c>
      <c r="T4" s="27">
        <v>1</v>
      </c>
      <c r="U4" s="27">
        <v>1</v>
      </c>
      <c r="V4" s="27">
        <v>9901</v>
      </c>
    </row>
    <row r="5" spans="1:22">
      <c r="A5" s="2" t="s">
        <v>25</v>
      </c>
      <c r="B5" s="2">
        <v>-350</v>
      </c>
      <c r="C5" s="27">
        <v>1</v>
      </c>
      <c r="D5" s="27">
        <v>1</v>
      </c>
      <c r="E5" s="27">
        <v>0</v>
      </c>
      <c r="F5" s="27">
        <v>1</v>
      </c>
      <c r="G5" s="27">
        <v>1</v>
      </c>
      <c r="H5" s="27">
        <v>0</v>
      </c>
      <c r="I5" s="27">
        <v>1</v>
      </c>
      <c r="J5" s="27">
        <v>0</v>
      </c>
      <c r="K5" s="27">
        <v>0</v>
      </c>
      <c r="L5" s="27">
        <v>0</v>
      </c>
      <c r="M5" s="27">
        <v>1</v>
      </c>
      <c r="N5" s="27">
        <v>1</v>
      </c>
      <c r="O5" s="27">
        <v>1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1</v>
      </c>
      <c r="V5" s="27">
        <v>13901</v>
      </c>
    </row>
    <row r="6" spans="1:22">
      <c r="A6" s="2" t="s">
        <v>26</v>
      </c>
      <c r="B6" s="2">
        <v>-125</v>
      </c>
      <c r="C6" s="27">
        <v>1</v>
      </c>
      <c r="D6" s="27">
        <v>0</v>
      </c>
      <c r="E6" s="27">
        <v>1</v>
      </c>
      <c r="F6" s="27">
        <v>1</v>
      </c>
      <c r="G6" s="27">
        <v>0</v>
      </c>
      <c r="H6" s="27">
        <v>0</v>
      </c>
      <c r="I6" s="27">
        <v>1</v>
      </c>
      <c r="J6" s="27">
        <v>0</v>
      </c>
      <c r="K6" s="27">
        <v>0</v>
      </c>
      <c r="L6" s="27">
        <v>0</v>
      </c>
      <c r="M6" s="27">
        <v>1</v>
      </c>
      <c r="N6" s="27">
        <v>1</v>
      </c>
      <c r="O6" s="27">
        <v>1</v>
      </c>
      <c r="P6" s="27">
        <v>1</v>
      </c>
      <c r="Q6" s="27">
        <v>0</v>
      </c>
      <c r="R6" s="27">
        <v>0</v>
      </c>
      <c r="S6" s="27">
        <v>0</v>
      </c>
      <c r="T6" s="27">
        <v>1</v>
      </c>
      <c r="U6" s="27">
        <v>0</v>
      </c>
      <c r="V6" s="27">
        <v>12901</v>
      </c>
    </row>
    <row r="7" spans="1:22">
      <c r="A7" s="2" t="s">
        <v>27</v>
      </c>
      <c r="B7" s="2">
        <v>675</v>
      </c>
      <c r="C7" s="27">
        <v>1</v>
      </c>
      <c r="D7" s="27">
        <v>1</v>
      </c>
      <c r="E7" s="27">
        <v>0</v>
      </c>
      <c r="F7" s="27">
        <v>1</v>
      </c>
      <c r="G7" s="27">
        <v>1</v>
      </c>
      <c r="H7" s="27">
        <v>0</v>
      </c>
      <c r="I7" s="27">
        <v>1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1</v>
      </c>
      <c r="R7" s="27">
        <v>0</v>
      </c>
      <c r="S7" s="27">
        <v>1</v>
      </c>
      <c r="T7" s="27">
        <v>1</v>
      </c>
      <c r="U7" s="27">
        <v>1</v>
      </c>
      <c r="V7" s="27">
        <v>12901</v>
      </c>
    </row>
    <row r="8" spans="1:22">
      <c r="A8" s="2" t="s">
        <v>28</v>
      </c>
      <c r="B8" s="2">
        <v>-675</v>
      </c>
      <c r="C8" s="27">
        <v>1</v>
      </c>
      <c r="D8" s="27">
        <v>0</v>
      </c>
      <c r="E8" s="27">
        <v>0</v>
      </c>
      <c r="F8" s="27">
        <v>0</v>
      </c>
      <c r="G8" s="27">
        <v>0</v>
      </c>
      <c r="H8" s="27">
        <v>1</v>
      </c>
      <c r="I8" s="27">
        <v>1</v>
      </c>
      <c r="J8" s="27">
        <v>0</v>
      </c>
      <c r="K8" s="27">
        <v>0</v>
      </c>
      <c r="L8" s="27">
        <v>0</v>
      </c>
      <c r="M8" s="27">
        <v>1</v>
      </c>
      <c r="N8" s="27">
        <v>1</v>
      </c>
      <c r="O8" s="27">
        <v>1</v>
      </c>
      <c r="P8" s="27">
        <v>0</v>
      </c>
      <c r="Q8" s="27">
        <v>0</v>
      </c>
      <c r="R8" s="27">
        <v>1</v>
      </c>
      <c r="S8" s="27">
        <v>1</v>
      </c>
      <c r="T8" s="27">
        <v>0</v>
      </c>
      <c r="U8" s="27">
        <v>1</v>
      </c>
      <c r="V8" s="27">
        <v>11901</v>
      </c>
    </row>
    <row r="9" spans="1:22">
      <c r="A9" s="2" t="s">
        <v>29</v>
      </c>
      <c r="B9" s="2">
        <v>-500</v>
      </c>
      <c r="C9" s="27">
        <v>1</v>
      </c>
      <c r="D9" s="27">
        <v>1</v>
      </c>
      <c r="E9" s="27">
        <v>1</v>
      </c>
      <c r="F9" s="27">
        <v>0</v>
      </c>
      <c r="G9" s="27">
        <v>0</v>
      </c>
      <c r="H9" s="27">
        <v>1</v>
      </c>
      <c r="I9" s="27">
        <v>1</v>
      </c>
      <c r="J9" s="27">
        <v>0</v>
      </c>
      <c r="K9" s="27">
        <v>0</v>
      </c>
      <c r="L9" s="27">
        <v>0</v>
      </c>
      <c r="M9" s="27">
        <v>0</v>
      </c>
      <c r="N9" s="27">
        <v>1</v>
      </c>
      <c r="O9" s="27">
        <v>0</v>
      </c>
      <c r="P9" s="27">
        <v>0</v>
      </c>
      <c r="Q9" s="27">
        <v>1</v>
      </c>
      <c r="R9" s="27">
        <v>1</v>
      </c>
      <c r="S9" s="27">
        <v>0</v>
      </c>
      <c r="T9" s="27">
        <v>1</v>
      </c>
      <c r="U9" s="27">
        <v>1</v>
      </c>
      <c r="V9" s="27">
        <v>14901</v>
      </c>
    </row>
    <row r="10" spans="1:22">
      <c r="A10" s="2" t="s">
        <v>30</v>
      </c>
      <c r="B10" s="2">
        <v>325</v>
      </c>
      <c r="C10" s="27">
        <v>1</v>
      </c>
      <c r="D10" s="27">
        <v>1</v>
      </c>
      <c r="E10" s="27">
        <v>0</v>
      </c>
      <c r="F10" s="27">
        <v>1</v>
      </c>
      <c r="G10" s="27">
        <v>1</v>
      </c>
      <c r="H10" s="27">
        <v>1</v>
      </c>
      <c r="I10" s="27">
        <v>0</v>
      </c>
      <c r="J10" s="27">
        <v>0</v>
      </c>
      <c r="K10" s="27">
        <v>0</v>
      </c>
      <c r="L10" s="27">
        <v>0</v>
      </c>
      <c r="M10" s="27">
        <v>1</v>
      </c>
      <c r="N10" s="27">
        <v>0</v>
      </c>
      <c r="O10" s="27">
        <v>0</v>
      </c>
      <c r="P10" s="27">
        <v>0</v>
      </c>
      <c r="Q10" s="27">
        <v>1</v>
      </c>
      <c r="R10" s="27">
        <v>1</v>
      </c>
      <c r="S10" s="27">
        <v>0</v>
      </c>
      <c r="T10" s="27">
        <v>0</v>
      </c>
      <c r="U10" s="27">
        <v>1</v>
      </c>
      <c r="V10" s="27">
        <v>12901</v>
      </c>
    </row>
    <row r="11" spans="1:22">
      <c r="A11" s="2" t="s">
        <v>22</v>
      </c>
      <c r="B11" s="2">
        <v>-250</v>
      </c>
      <c r="C11" s="27">
        <v>1</v>
      </c>
      <c r="D11" s="27">
        <v>0</v>
      </c>
      <c r="E11" s="27">
        <v>1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1</v>
      </c>
      <c r="O11" s="27">
        <v>1</v>
      </c>
      <c r="P11" s="27">
        <v>0</v>
      </c>
      <c r="Q11" s="27">
        <v>0</v>
      </c>
      <c r="R11" s="27">
        <v>1</v>
      </c>
      <c r="S11" s="27">
        <v>0</v>
      </c>
      <c r="T11" s="27">
        <v>1</v>
      </c>
      <c r="U11" s="27">
        <v>1</v>
      </c>
      <c r="V11" s="27">
        <v>14401</v>
      </c>
    </row>
    <row r="12" spans="1:22">
      <c r="A12" s="2" t="s">
        <v>23</v>
      </c>
      <c r="B12" s="2">
        <v>775</v>
      </c>
      <c r="C12" s="27">
        <v>1</v>
      </c>
      <c r="D12" s="27">
        <v>0</v>
      </c>
      <c r="E12" s="27">
        <v>0</v>
      </c>
      <c r="F12" s="27">
        <v>1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1</v>
      </c>
      <c r="N12" s="27">
        <v>0</v>
      </c>
      <c r="O12" s="27">
        <v>0</v>
      </c>
      <c r="P12" s="27">
        <v>1</v>
      </c>
      <c r="Q12" s="27">
        <v>0</v>
      </c>
      <c r="R12" s="27">
        <v>1</v>
      </c>
      <c r="S12" s="27">
        <v>1</v>
      </c>
      <c r="T12" s="27">
        <v>1</v>
      </c>
      <c r="U12" s="27">
        <v>0</v>
      </c>
      <c r="V12" s="27">
        <v>11901</v>
      </c>
    </row>
    <row r="13" spans="1:22">
      <c r="A13" s="2" t="s">
        <v>24</v>
      </c>
      <c r="B13" s="2">
        <v>775</v>
      </c>
      <c r="C13" s="27">
        <v>1</v>
      </c>
      <c r="D13" s="27">
        <v>1</v>
      </c>
      <c r="E13" s="27">
        <v>1</v>
      </c>
      <c r="F13" s="27">
        <v>1</v>
      </c>
      <c r="G13" s="27">
        <v>1</v>
      </c>
      <c r="H13" s="27">
        <v>0</v>
      </c>
      <c r="I13" s="27">
        <v>1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1</v>
      </c>
      <c r="Q13" s="27">
        <v>0</v>
      </c>
      <c r="R13" s="27">
        <v>1</v>
      </c>
      <c r="S13" s="27">
        <v>1</v>
      </c>
      <c r="T13" s="27">
        <v>0</v>
      </c>
      <c r="U13" s="27">
        <v>0</v>
      </c>
      <c r="V13" s="27">
        <v>15401</v>
      </c>
    </row>
    <row r="14" spans="1:22">
      <c r="A14" s="2" t="s">
        <v>25</v>
      </c>
      <c r="B14" s="2">
        <v>-300</v>
      </c>
      <c r="C14" s="27">
        <v>1</v>
      </c>
      <c r="D14" s="27">
        <v>1</v>
      </c>
      <c r="E14" s="27">
        <v>1</v>
      </c>
      <c r="F14" s="27">
        <v>1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1</v>
      </c>
      <c r="N14" s="27">
        <v>1</v>
      </c>
      <c r="O14" s="27">
        <v>0</v>
      </c>
      <c r="P14" s="27">
        <v>1</v>
      </c>
      <c r="Q14" s="27">
        <v>0</v>
      </c>
      <c r="R14" s="27">
        <v>1</v>
      </c>
      <c r="S14" s="27">
        <v>0</v>
      </c>
      <c r="T14" s="27">
        <v>0</v>
      </c>
      <c r="U14" s="27">
        <v>0</v>
      </c>
      <c r="V14" s="27">
        <v>12401</v>
      </c>
    </row>
    <row r="15" spans="1:22">
      <c r="A15" s="2" t="s">
        <v>26</v>
      </c>
      <c r="B15" s="2">
        <v>825</v>
      </c>
      <c r="C15" s="27">
        <v>1</v>
      </c>
      <c r="D15" s="27">
        <v>0</v>
      </c>
      <c r="E15" s="27">
        <v>0</v>
      </c>
      <c r="F15" s="27">
        <v>0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27">
        <v>0</v>
      </c>
      <c r="M15" s="27">
        <v>1</v>
      </c>
      <c r="N15" s="27">
        <v>0</v>
      </c>
      <c r="O15" s="27">
        <v>1</v>
      </c>
      <c r="P15" s="27">
        <v>0</v>
      </c>
      <c r="Q15" s="27">
        <v>1</v>
      </c>
      <c r="R15" s="27">
        <v>1</v>
      </c>
      <c r="S15" s="27">
        <v>1</v>
      </c>
      <c r="T15" s="27">
        <v>1</v>
      </c>
      <c r="U15" s="27">
        <v>0</v>
      </c>
      <c r="V15" s="27">
        <v>12901</v>
      </c>
    </row>
    <row r="16" spans="1:22">
      <c r="A16" s="2" t="s">
        <v>27</v>
      </c>
      <c r="B16" s="2">
        <v>650</v>
      </c>
      <c r="C16" s="27">
        <v>1</v>
      </c>
      <c r="D16" s="27">
        <v>0</v>
      </c>
      <c r="E16" s="27">
        <v>0</v>
      </c>
      <c r="F16" s="27">
        <v>1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1</v>
      </c>
      <c r="N16" s="27">
        <v>0</v>
      </c>
      <c r="O16" s="27">
        <v>1</v>
      </c>
      <c r="P16" s="27">
        <v>1</v>
      </c>
      <c r="Q16" s="27">
        <v>0</v>
      </c>
      <c r="R16" s="27">
        <v>1</v>
      </c>
      <c r="S16" s="27">
        <v>1</v>
      </c>
      <c r="T16" s="27">
        <v>0</v>
      </c>
      <c r="U16" s="27">
        <v>1</v>
      </c>
      <c r="V16" s="27">
        <v>12401</v>
      </c>
    </row>
    <row r="17" spans="1:22">
      <c r="A17" s="2" t="s">
        <v>22</v>
      </c>
      <c r="B17" s="2">
        <v>-400</v>
      </c>
      <c r="C17" s="27">
        <v>1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1</v>
      </c>
      <c r="J17" s="27">
        <v>0</v>
      </c>
      <c r="K17" s="27">
        <v>0</v>
      </c>
      <c r="L17" s="27">
        <v>0</v>
      </c>
      <c r="M17" s="27">
        <v>0</v>
      </c>
      <c r="N17" s="27">
        <v>1</v>
      </c>
      <c r="O17" s="27">
        <v>0</v>
      </c>
      <c r="P17" s="27">
        <v>0</v>
      </c>
      <c r="Q17" s="27">
        <v>1</v>
      </c>
      <c r="R17" s="27">
        <v>1</v>
      </c>
      <c r="S17" s="27">
        <v>1</v>
      </c>
      <c r="T17" s="27">
        <v>1</v>
      </c>
      <c r="U17" s="27">
        <v>1</v>
      </c>
      <c r="V17" s="27">
        <v>9401</v>
      </c>
    </row>
    <row r="18" spans="1:22">
      <c r="A18" s="2" t="s">
        <v>23</v>
      </c>
      <c r="B18" s="2">
        <v>-475</v>
      </c>
      <c r="C18" s="27">
        <v>1</v>
      </c>
      <c r="D18" s="27">
        <v>1</v>
      </c>
      <c r="E18" s="27">
        <v>1</v>
      </c>
      <c r="F18" s="27">
        <v>1</v>
      </c>
      <c r="G18" s="27">
        <v>0</v>
      </c>
      <c r="H18" s="27">
        <v>1</v>
      </c>
      <c r="I18" s="27">
        <v>1</v>
      </c>
      <c r="J18" s="27">
        <v>0</v>
      </c>
      <c r="K18" s="27">
        <v>0</v>
      </c>
      <c r="L18" s="27">
        <v>0</v>
      </c>
      <c r="M18" s="27">
        <v>0</v>
      </c>
      <c r="N18" s="27">
        <v>1</v>
      </c>
      <c r="O18" s="27">
        <v>0</v>
      </c>
      <c r="P18" s="27">
        <v>0</v>
      </c>
      <c r="Q18" s="27">
        <v>0</v>
      </c>
      <c r="R18" s="27">
        <v>1</v>
      </c>
      <c r="S18" s="27">
        <v>0</v>
      </c>
      <c r="T18" s="27">
        <v>1</v>
      </c>
      <c r="U18" s="27">
        <v>0</v>
      </c>
      <c r="V18" s="27">
        <v>14901</v>
      </c>
    </row>
    <row r="19" spans="1:22">
      <c r="A19" s="2" t="s">
        <v>24</v>
      </c>
      <c r="B19" s="2">
        <v>-300</v>
      </c>
      <c r="C19" s="27">
        <v>1</v>
      </c>
      <c r="D19" s="27">
        <v>1</v>
      </c>
      <c r="E19" s="27">
        <v>1</v>
      </c>
      <c r="F19" s="27">
        <v>1</v>
      </c>
      <c r="G19" s="27">
        <v>0</v>
      </c>
      <c r="H19" s="27">
        <v>1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1</v>
      </c>
      <c r="O19" s="27">
        <v>1</v>
      </c>
      <c r="P19" s="27">
        <v>1</v>
      </c>
      <c r="Q19" s="27">
        <v>0</v>
      </c>
      <c r="R19" s="27">
        <v>1</v>
      </c>
      <c r="S19" s="27">
        <v>1</v>
      </c>
      <c r="T19" s="27">
        <v>0</v>
      </c>
      <c r="U19" s="27">
        <v>0</v>
      </c>
      <c r="V19" s="27">
        <v>15901</v>
      </c>
    </row>
    <row r="20" spans="1:22">
      <c r="A20" s="2" t="s">
        <v>25</v>
      </c>
      <c r="B20" s="2">
        <v>-800</v>
      </c>
      <c r="C20" s="27">
        <v>0</v>
      </c>
      <c r="D20" s="27">
        <v>0</v>
      </c>
      <c r="E20" s="27">
        <v>0</v>
      </c>
      <c r="F20" s="27">
        <v>1</v>
      </c>
      <c r="G20" s="27">
        <v>0</v>
      </c>
      <c r="H20" s="27">
        <v>1</v>
      </c>
      <c r="I20" s="27">
        <v>0</v>
      </c>
      <c r="J20" s="27">
        <v>0</v>
      </c>
      <c r="K20" s="27">
        <v>0</v>
      </c>
      <c r="L20" s="27">
        <v>0</v>
      </c>
      <c r="M20" s="27">
        <v>1</v>
      </c>
      <c r="N20" s="27">
        <v>1</v>
      </c>
      <c r="O20" s="27">
        <v>0</v>
      </c>
      <c r="P20" s="27">
        <v>1</v>
      </c>
      <c r="Q20" s="27">
        <v>1</v>
      </c>
      <c r="R20" s="27">
        <v>1</v>
      </c>
      <c r="S20" s="27">
        <v>0</v>
      </c>
      <c r="T20" s="27">
        <v>0</v>
      </c>
      <c r="U20" s="27">
        <v>1</v>
      </c>
      <c r="V20" s="27">
        <v>9401</v>
      </c>
    </row>
    <row r="21" spans="1:22">
      <c r="A21" s="2" t="s">
        <v>26</v>
      </c>
      <c r="B21" s="2">
        <v>675</v>
      </c>
      <c r="C21" s="27">
        <v>1</v>
      </c>
      <c r="D21" s="27">
        <v>1</v>
      </c>
      <c r="E21" s="27">
        <v>0</v>
      </c>
      <c r="F21" s="27"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1</v>
      </c>
      <c r="N21" s="27">
        <v>0</v>
      </c>
      <c r="O21" s="27">
        <v>0</v>
      </c>
      <c r="P21" s="27">
        <v>1</v>
      </c>
      <c r="Q21" s="27">
        <v>0</v>
      </c>
      <c r="R21" s="27">
        <v>1</v>
      </c>
      <c r="S21" s="27">
        <v>0</v>
      </c>
      <c r="T21" s="27">
        <v>1</v>
      </c>
      <c r="U21" s="27">
        <v>1</v>
      </c>
      <c r="V21" s="27">
        <v>9901</v>
      </c>
    </row>
    <row r="22" spans="1:22">
      <c r="A22" s="2" t="s">
        <v>22</v>
      </c>
      <c r="B22" s="2">
        <v>-400</v>
      </c>
      <c r="C22" s="27">
        <v>1</v>
      </c>
      <c r="D22" s="27">
        <v>1</v>
      </c>
      <c r="E22" s="27">
        <v>0</v>
      </c>
      <c r="F22" s="27">
        <v>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1</v>
      </c>
      <c r="O22" s="27">
        <v>0</v>
      </c>
      <c r="P22" s="27">
        <v>1</v>
      </c>
      <c r="Q22" s="27">
        <v>1</v>
      </c>
      <c r="R22" s="27">
        <v>0</v>
      </c>
      <c r="S22" s="27">
        <v>1</v>
      </c>
      <c r="T22" s="27">
        <v>0</v>
      </c>
      <c r="U22" s="27">
        <v>1</v>
      </c>
      <c r="V22" s="27">
        <v>9901</v>
      </c>
    </row>
    <row r="23" spans="1:22">
      <c r="A23" s="2" t="s">
        <v>23</v>
      </c>
      <c r="B23" s="2">
        <v>-275</v>
      </c>
      <c r="C23" s="27">
        <v>1</v>
      </c>
      <c r="D23" s="27">
        <v>0</v>
      </c>
      <c r="E23" s="27">
        <v>0</v>
      </c>
      <c r="F23" s="27">
        <v>1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0</v>
      </c>
      <c r="U23" s="27">
        <v>0</v>
      </c>
      <c r="V23" s="27">
        <v>9901</v>
      </c>
    </row>
    <row r="24" spans="1:22">
      <c r="A24" s="2" t="s">
        <v>24</v>
      </c>
      <c r="B24" s="2">
        <v>-500</v>
      </c>
      <c r="C24" s="27">
        <v>1</v>
      </c>
      <c r="D24" s="27">
        <v>0</v>
      </c>
      <c r="E24" s="27">
        <v>0</v>
      </c>
      <c r="F24" s="27">
        <v>0</v>
      </c>
      <c r="G24" s="27">
        <v>0</v>
      </c>
      <c r="H24" s="27">
        <v>1</v>
      </c>
      <c r="I24" s="27">
        <v>1</v>
      </c>
      <c r="J24" s="27">
        <v>0</v>
      </c>
      <c r="K24" s="27">
        <v>0</v>
      </c>
      <c r="L24" s="27">
        <v>0</v>
      </c>
      <c r="M24" s="27">
        <v>1</v>
      </c>
      <c r="N24" s="27">
        <v>1</v>
      </c>
      <c r="O24" s="27">
        <v>0</v>
      </c>
      <c r="P24" s="27">
        <v>1</v>
      </c>
      <c r="Q24" s="27">
        <v>1</v>
      </c>
      <c r="R24" s="27">
        <v>0</v>
      </c>
      <c r="S24" s="27">
        <v>1</v>
      </c>
      <c r="T24" s="27">
        <v>0</v>
      </c>
      <c r="U24" s="27">
        <v>0</v>
      </c>
      <c r="V24" s="27">
        <v>9901</v>
      </c>
    </row>
    <row r="25" spans="1:22">
      <c r="A25" s="2" t="s">
        <v>22</v>
      </c>
      <c r="B25" s="2">
        <v>825</v>
      </c>
      <c r="C25" s="27">
        <v>1</v>
      </c>
      <c r="D25" s="27">
        <v>1</v>
      </c>
      <c r="E25" s="27">
        <v>0</v>
      </c>
      <c r="F25" s="27">
        <v>1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1</v>
      </c>
      <c r="N25" s="27">
        <v>0</v>
      </c>
      <c r="O25" s="27">
        <v>0</v>
      </c>
      <c r="P25" s="27">
        <v>1</v>
      </c>
      <c r="Q25" s="27">
        <v>1</v>
      </c>
      <c r="R25" s="27">
        <v>1</v>
      </c>
      <c r="S25" s="27">
        <v>0</v>
      </c>
      <c r="T25" s="27">
        <v>1</v>
      </c>
      <c r="U25" s="27">
        <v>0</v>
      </c>
      <c r="V25" s="27">
        <v>8901</v>
      </c>
    </row>
    <row r="26" spans="1:22">
      <c r="A26" s="2" t="s">
        <v>23</v>
      </c>
      <c r="B26" s="2">
        <v>325</v>
      </c>
      <c r="C26" s="27">
        <v>1</v>
      </c>
      <c r="D26" s="27">
        <v>1</v>
      </c>
      <c r="E26" s="27">
        <v>0</v>
      </c>
      <c r="F26" s="27">
        <v>1</v>
      </c>
      <c r="G26" s="27">
        <v>0</v>
      </c>
      <c r="H26" s="27">
        <v>1</v>
      </c>
      <c r="I26" s="27">
        <v>0</v>
      </c>
      <c r="J26" s="27">
        <v>0</v>
      </c>
      <c r="K26" s="27">
        <v>0</v>
      </c>
      <c r="L26" s="27">
        <v>0</v>
      </c>
      <c r="M26" s="27">
        <v>1</v>
      </c>
      <c r="N26" s="27">
        <v>0</v>
      </c>
      <c r="O26" s="27">
        <v>1</v>
      </c>
      <c r="P26" s="27">
        <v>1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9401</v>
      </c>
    </row>
    <row r="27" spans="1:22">
      <c r="A27" s="2" t="s">
        <v>22</v>
      </c>
      <c r="B27" s="2">
        <v>-50</v>
      </c>
      <c r="C27" s="27">
        <v>1</v>
      </c>
      <c r="D27" s="27">
        <v>1</v>
      </c>
      <c r="E27" s="27">
        <v>0</v>
      </c>
      <c r="F27" s="27">
        <v>0</v>
      </c>
      <c r="G27" s="27">
        <v>0</v>
      </c>
      <c r="H27" s="27">
        <v>1</v>
      </c>
      <c r="I27" s="27">
        <v>1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1</v>
      </c>
      <c r="S27" s="27">
        <v>1</v>
      </c>
      <c r="T27" s="27">
        <v>0</v>
      </c>
      <c r="U27" s="27">
        <v>1</v>
      </c>
      <c r="V27" s="27">
        <v>9901</v>
      </c>
    </row>
    <row r="28" spans="1:22">
      <c r="A28" s="2" t="s">
        <v>23</v>
      </c>
      <c r="B28" s="2">
        <v>700</v>
      </c>
      <c r="C28" s="27">
        <v>1</v>
      </c>
      <c r="D28" s="27">
        <v>0</v>
      </c>
      <c r="E28" s="27">
        <v>1</v>
      </c>
      <c r="F28" s="27">
        <v>0</v>
      </c>
      <c r="G28" s="27">
        <v>1</v>
      </c>
      <c r="H28" s="27">
        <v>1</v>
      </c>
      <c r="I28" s="27">
        <v>1</v>
      </c>
      <c r="J28" s="27">
        <v>0</v>
      </c>
      <c r="K28" s="27">
        <v>0</v>
      </c>
      <c r="L28" s="27">
        <v>0</v>
      </c>
      <c r="M28" s="27">
        <v>1</v>
      </c>
      <c r="N28" s="27">
        <v>0</v>
      </c>
      <c r="O28" s="27">
        <v>1</v>
      </c>
      <c r="P28" s="27">
        <v>0</v>
      </c>
      <c r="Q28" s="27">
        <v>1</v>
      </c>
      <c r="R28" s="27">
        <v>1</v>
      </c>
      <c r="S28" s="27">
        <v>0</v>
      </c>
      <c r="T28" s="27">
        <v>0</v>
      </c>
      <c r="U28" s="27">
        <v>0</v>
      </c>
      <c r="V28" s="27">
        <v>13901</v>
      </c>
    </row>
    <row r="29" spans="1:22">
      <c r="A29" s="2" t="s">
        <v>24</v>
      </c>
      <c r="B29" s="2">
        <v>-225</v>
      </c>
      <c r="C29" s="27">
        <v>1</v>
      </c>
      <c r="D29" s="27">
        <v>1</v>
      </c>
      <c r="E29" s="27">
        <v>0</v>
      </c>
      <c r="F29" s="27">
        <v>1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27">
        <v>0</v>
      </c>
      <c r="M29" s="27">
        <v>0</v>
      </c>
      <c r="N29" s="27">
        <v>1</v>
      </c>
      <c r="O29" s="27">
        <v>0</v>
      </c>
      <c r="P29" s="27">
        <v>0</v>
      </c>
      <c r="Q29" s="27">
        <v>1</v>
      </c>
      <c r="R29" s="27">
        <v>0</v>
      </c>
      <c r="S29" s="27">
        <v>1</v>
      </c>
      <c r="T29" s="27">
        <v>1</v>
      </c>
      <c r="U29" s="27">
        <v>0</v>
      </c>
      <c r="V29" s="27">
        <v>10401</v>
      </c>
    </row>
    <row r="30" spans="1:22">
      <c r="A30" s="2" t="s">
        <v>22</v>
      </c>
      <c r="B30" s="2">
        <v>-375</v>
      </c>
      <c r="C30" s="27">
        <v>1</v>
      </c>
      <c r="D30" s="27">
        <v>0</v>
      </c>
      <c r="E30" s="27">
        <v>0</v>
      </c>
      <c r="F30" s="27">
        <v>1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1</v>
      </c>
      <c r="O30" s="27">
        <v>0</v>
      </c>
      <c r="P30" s="27">
        <v>1</v>
      </c>
      <c r="Q30" s="27">
        <v>1</v>
      </c>
      <c r="R30" s="27">
        <v>1</v>
      </c>
      <c r="S30" s="27">
        <v>0</v>
      </c>
      <c r="T30" s="27">
        <v>1</v>
      </c>
      <c r="U30" s="27">
        <v>0</v>
      </c>
      <c r="V30" s="27">
        <v>9901</v>
      </c>
    </row>
    <row r="31" spans="1:22">
      <c r="A31" s="2" t="s">
        <v>23</v>
      </c>
      <c r="B31" s="2">
        <v>675</v>
      </c>
      <c r="C31" s="27">
        <v>0</v>
      </c>
      <c r="D31" s="27">
        <v>1</v>
      </c>
      <c r="E31" s="27">
        <v>0</v>
      </c>
      <c r="F31" s="27">
        <v>1</v>
      </c>
      <c r="G31" s="27">
        <v>0</v>
      </c>
      <c r="H31" s="27">
        <v>1</v>
      </c>
      <c r="I31" s="27">
        <v>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1</v>
      </c>
      <c r="R31" s="27">
        <v>1</v>
      </c>
      <c r="S31" s="27">
        <v>1</v>
      </c>
      <c r="T31" s="27">
        <v>1</v>
      </c>
      <c r="U31" s="27">
        <v>0</v>
      </c>
      <c r="V31" s="27">
        <v>10401</v>
      </c>
    </row>
    <row r="32" spans="1:22">
      <c r="A32" s="2" t="s">
        <v>24</v>
      </c>
      <c r="B32" s="2">
        <v>575</v>
      </c>
      <c r="C32" s="27">
        <v>1</v>
      </c>
      <c r="D32" s="27">
        <v>0</v>
      </c>
      <c r="E32" s="27">
        <v>0</v>
      </c>
      <c r="F32" s="27">
        <v>1</v>
      </c>
      <c r="G32" s="27">
        <v>1</v>
      </c>
      <c r="H32" s="27">
        <v>0</v>
      </c>
      <c r="I32" s="27">
        <v>1</v>
      </c>
      <c r="J32" s="27">
        <v>0</v>
      </c>
      <c r="K32" s="27">
        <v>0</v>
      </c>
      <c r="L32" s="27">
        <v>0</v>
      </c>
      <c r="M32" s="27">
        <v>1</v>
      </c>
      <c r="N32" s="27">
        <v>0</v>
      </c>
      <c r="O32" s="27">
        <v>1</v>
      </c>
      <c r="P32" s="27">
        <v>0</v>
      </c>
      <c r="Q32" s="27">
        <v>1</v>
      </c>
      <c r="R32" s="27">
        <v>1</v>
      </c>
      <c r="S32" s="27">
        <v>0</v>
      </c>
      <c r="T32" s="27">
        <v>0</v>
      </c>
      <c r="U32" s="27">
        <v>0</v>
      </c>
      <c r="V32" s="27">
        <v>9901</v>
      </c>
    </row>
    <row r="33" spans="1:22">
      <c r="A33" s="2" t="s">
        <v>22</v>
      </c>
      <c r="B33" s="2">
        <v>-575</v>
      </c>
      <c r="C33" s="27">
        <v>1</v>
      </c>
      <c r="D33" s="27">
        <v>1</v>
      </c>
      <c r="E33" s="27">
        <v>0</v>
      </c>
      <c r="F33" s="27">
        <v>0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1</v>
      </c>
      <c r="O33" s="27">
        <v>0</v>
      </c>
      <c r="P33" s="27">
        <v>0</v>
      </c>
      <c r="Q33" s="27">
        <v>1</v>
      </c>
      <c r="R33" s="27">
        <v>0</v>
      </c>
      <c r="S33" s="27">
        <v>1</v>
      </c>
      <c r="T33" s="27">
        <v>1</v>
      </c>
      <c r="U33" s="27">
        <v>1</v>
      </c>
      <c r="V33" s="27">
        <v>11401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4"/>
  <sheetViews>
    <sheetView workbookViewId="0">
      <selection activeCell="B3" sqref="B3:B34"/>
    </sheetView>
  </sheetViews>
  <sheetFormatPr defaultColWidth="9" defaultRowHeight="13.5" outlineLevelCol="3"/>
  <cols>
    <col min="1" max="1" width="6.375" style="3" customWidth="1"/>
    <col min="2" max="2" width="8.875" style="5" customWidth="1"/>
    <col min="3" max="3" width="5.125" style="5" customWidth="1"/>
    <col min="4" max="4" width="9" style="3" customWidth="1"/>
    <col min="5" max="16384" width="9" style="5"/>
  </cols>
  <sheetData>
    <row r="1" ht="14.25" spans="1:4">
      <c r="A1" s="14" t="s">
        <v>0</v>
      </c>
      <c r="B1" s="15" t="s">
        <v>31</v>
      </c>
      <c r="C1" s="15"/>
      <c r="D1" s="16"/>
    </row>
    <row r="2" spans="1:4">
      <c r="A2" s="17" t="s">
        <v>32</v>
      </c>
      <c r="B2" s="18" t="s">
        <v>33</v>
      </c>
      <c r="C2" s="19" t="s">
        <v>20</v>
      </c>
      <c r="D2" s="20" t="s">
        <v>7</v>
      </c>
    </row>
    <row r="3" spans="1:4">
      <c r="A3" s="21" t="s">
        <v>22</v>
      </c>
      <c r="B3" s="2">
        <v>625</v>
      </c>
      <c r="C3" s="2">
        <v>1</v>
      </c>
      <c r="D3" s="20">
        <v>0</v>
      </c>
    </row>
    <row r="4" spans="1:4">
      <c r="A4" s="21" t="s">
        <v>23</v>
      </c>
      <c r="B4" s="2">
        <v>300</v>
      </c>
      <c r="C4" s="2">
        <v>1</v>
      </c>
      <c r="D4" s="20">
        <v>1</v>
      </c>
    </row>
    <row r="5" spans="1:4">
      <c r="A5" s="21" t="s">
        <v>24</v>
      </c>
      <c r="B5" s="2">
        <v>25</v>
      </c>
      <c r="C5" s="2">
        <v>1</v>
      </c>
      <c r="D5" s="20">
        <v>1</v>
      </c>
    </row>
    <row r="6" spans="1:4">
      <c r="A6" s="21" t="s">
        <v>25</v>
      </c>
      <c r="B6" s="2">
        <v>-350</v>
      </c>
      <c r="C6" s="2">
        <v>1</v>
      </c>
      <c r="D6" s="20">
        <v>0</v>
      </c>
    </row>
    <row r="7" spans="1:4">
      <c r="A7" s="21" t="s">
        <v>26</v>
      </c>
      <c r="B7" s="2">
        <v>-125</v>
      </c>
      <c r="C7" s="2">
        <v>0</v>
      </c>
      <c r="D7" s="20">
        <v>0</v>
      </c>
    </row>
    <row r="8" spans="1:4">
      <c r="A8" s="21" t="s">
        <v>27</v>
      </c>
      <c r="B8" s="2">
        <v>675</v>
      </c>
      <c r="C8" s="2">
        <v>1</v>
      </c>
      <c r="D8" s="20">
        <v>0</v>
      </c>
    </row>
    <row r="9" spans="1:4">
      <c r="A9" s="21" t="s">
        <v>28</v>
      </c>
      <c r="B9" s="2">
        <v>-675</v>
      </c>
      <c r="C9" s="2">
        <v>1</v>
      </c>
      <c r="D9" s="20">
        <v>1</v>
      </c>
    </row>
    <row r="10" spans="1:4">
      <c r="A10" s="21" t="s">
        <v>29</v>
      </c>
      <c r="B10" s="2">
        <v>-500</v>
      </c>
      <c r="C10" s="2">
        <v>1</v>
      </c>
      <c r="D10" s="20">
        <v>1</v>
      </c>
    </row>
    <row r="11" ht="14.25" spans="1:4">
      <c r="A11" s="22" t="s">
        <v>30</v>
      </c>
      <c r="B11" s="2">
        <v>325</v>
      </c>
      <c r="C11" s="23">
        <v>1</v>
      </c>
      <c r="D11" s="20">
        <v>1</v>
      </c>
    </row>
    <row r="12" spans="1:4">
      <c r="A12" s="17" t="s">
        <v>22</v>
      </c>
      <c r="B12" s="2">
        <v>-250</v>
      </c>
      <c r="C12" s="19">
        <v>1</v>
      </c>
      <c r="D12" s="20">
        <v>0</v>
      </c>
    </row>
    <row r="13" spans="1:4">
      <c r="A13" s="21" t="s">
        <v>23</v>
      </c>
      <c r="B13" s="2">
        <v>775</v>
      </c>
      <c r="C13" s="2">
        <v>0</v>
      </c>
      <c r="D13" s="20">
        <v>0</v>
      </c>
    </row>
    <row r="14" spans="1:4">
      <c r="A14" s="21" t="s">
        <v>24</v>
      </c>
      <c r="B14" s="2">
        <v>775</v>
      </c>
      <c r="C14" s="2">
        <v>0</v>
      </c>
      <c r="D14" s="20">
        <v>0</v>
      </c>
    </row>
    <row r="15" spans="1:4">
      <c r="A15" s="21" t="s">
        <v>25</v>
      </c>
      <c r="B15" s="2">
        <v>-300</v>
      </c>
      <c r="C15" s="2">
        <v>0</v>
      </c>
      <c r="D15" s="20">
        <v>0</v>
      </c>
    </row>
    <row r="16" spans="1:4">
      <c r="A16" s="21" t="s">
        <v>26</v>
      </c>
      <c r="B16" s="2">
        <v>825</v>
      </c>
      <c r="C16" s="2">
        <v>0</v>
      </c>
      <c r="D16" s="20">
        <v>1</v>
      </c>
    </row>
    <row r="17" ht="14.25" spans="1:4">
      <c r="A17" s="22" t="s">
        <v>27</v>
      </c>
      <c r="B17" s="2">
        <v>650</v>
      </c>
      <c r="C17" s="23">
        <v>1</v>
      </c>
      <c r="D17" s="20">
        <v>0</v>
      </c>
    </row>
    <row r="18" spans="1:4">
      <c r="A18" s="17" t="s">
        <v>22</v>
      </c>
      <c r="B18" s="2">
        <v>-400</v>
      </c>
      <c r="C18" s="19">
        <v>1</v>
      </c>
      <c r="D18" s="20">
        <v>0</v>
      </c>
    </row>
    <row r="19" spans="1:4">
      <c r="A19" s="21" t="s">
        <v>23</v>
      </c>
      <c r="B19" s="2">
        <v>-475</v>
      </c>
      <c r="C19" s="2">
        <v>0</v>
      </c>
      <c r="D19" s="20">
        <v>1</v>
      </c>
    </row>
    <row r="20" spans="1:4">
      <c r="A20" s="21" t="s">
        <v>24</v>
      </c>
      <c r="B20" s="2">
        <v>-300</v>
      </c>
      <c r="C20" s="2">
        <v>0</v>
      </c>
      <c r="D20" s="20">
        <v>1</v>
      </c>
    </row>
    <row r="21" spans="1:4">
      <c r="A21" s="21" t="s">
        <v>25</v>
      </c>
      <c r="B21" s="2">
        <v>-800</v>
      </c>
      <c r="C21" s="2">
        <v>1</v>
      </c>
      <c r="D21" s="20">
        <v>1</v>
      </c>
    </row>
    <row r="22" ht="14.25" spans="1:4">
      <c r="A22" s="22" t="s">
        <v>26</v>
      </c>
      <c r="B22" s="2">
        <v>675</v>
      </c>
      <c r="C22" s="23">
        <v>1</v>
      </c>
      <c r="D22" s="20">
        <v>0</v>
      </c>
    </row>
    <row r="23" spans="1:4">
      <c r="A23" s="17" t="s">
        <v>22</v>
      </c>
      <c r="B23" s="2">
        <v>-400</v>
      </c>
      <c r="C23" s="19">
        <v>1</v>
      </c>
      <c r="D23" s="20">
        <v>0</v>
      </c>
    </row>
    <row r="24" spans="1:4">
      <c r="A24" s="21" t="s">
        <v>23</v>
      </c>
      <c r="B24" s="2">
        <v>-275</v>
      </c>
      <c r="C24" s="2">
        <v>0</v>
      </c>
      <c r="D24" s="20">
        <v>0</v>
      </c>
    </row>
    <row r="25" ht="14.25" spans="1:4">
      <c r="A25" s="22" t="s">
        <v>24</v>
      </c>
      <c r="B25" s="2">
        <v>-500</v>
      </c>
      <c r="C25" s="23">
        <v>0</v>
      </c>
      <c r="D25" s="20">
        <v>1</v>
      </c>
    </row>
    <row r="26" spans="1:4">
      <c r="A26" s="17" t="s">
        <v>22</v>
      </c>
      <c r="B26" s="2">
        <v>825</v>
      </c>
      <c r="C26" s="19">
        <v>0</v>
      </c>
      <c r="D26" s="20">
        <v>0</v>
      </c>
    </row>
    <row r="27" ht="14.25" spans="1:4">
      <c r="A27" s="22" t="s">
        <v>23</v>
      </c>
      <c r="B27" s="2">
        <v>325</v>
      </c>
      <c r="C27" s="23">
        <v>0</v>
      </c>
      <c r="D27" s="20">
        <v>1</v>
      </c>
    </row>
    <row r="28" spans="1:4">
      <c r="A28" s="17" t="s">
        <v>22</v>
      </c>
      <c r="B28" s="2">
        <v>-50</v>
      </c>
      <c r="C28" s="19">
        <v>1</v>
      </c>
      <c r="D28" s="20">
        <v>1</v>
      </c>
    </row>
    <row r="29" spans="1:4">
      <c r="A29" s="21" t="s">
        <v>23</v>
      </c>
      <c r="B29" s="2">
        <v>700</v>
      </c>
      <c r="C29" s="2">
        <v>0</v>
      </c>
      <c r="D29" s="20">
        <v>1</v>
      </c>
    </row>
    <row r="30" ht="14.25" spans="1:4">
      <c r="A30" s="22" t="s">
        <v>24</v>
      </c>
      <c r="B30" s="2">
        <v>-225</v>
      </c>
      <c r="C30" s="23">
        <v>0</v>
      </c>
      <c r="D30" s="20">
        <v>0</v>
      </c>
    </row>
    <row r="31" spans="1:4">
      <c r="A31" s="17" t="s">
        <v>22</v>
      </c>
      <c r="B31" s="2">
        <v>-375</v>
      </c>
      <c r="C31" s="19">
        <v>0</v>
      </c>
      <c r="D31" s="20">
        <v>1</v>
      </c>
    </row>
    <row r="32" spans="1:4">
      <c r="A32" s="21" t="s">
        <v>23</v>
      </c>
      <c r="B32" s="2">
        <v>675</v>
      </c>
      <c r="C32" s="2">
        <v>0</v>
      </c>
      <c r="D32" s="20">
        <v>1</v>
      </c>
    </row>
    <row r="33" ht="14.25" spans="1:4">
      <c r="A33" s="22" t="s">
        <v>24</v>
      </c>
      <c r="B33" s="2">
        <v>575</v>
      </c>
      <c r="C33" s="23">
        <v>0</v>
      </c>
      <c r="D33" s="20">
        <v>0</v>
      </c>
    </row>
    <row r="34" ht="14.25" spans="1:4">
      <c r="A34" s="24" t="s">
        <v>22</v>
      </c>
      <c r="B34" s="2">
        <v>-575</v>
      </c>
      <c r="C34" s="25">
        <v>1</v>
      </c>
      <c r="D34" s="2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D22"/>
  <sheetViews>
    <sheetView workbookViewId="0">
      <selection activeCell="C19" sqref="C19"/>
    </sheetView>
  </sheetViews>
  <sheetFormatPr defaultColWidth="9" defaultRowHeight="13.5" outlineLevelCol="3"/>
  <cols>
    <col min="1" max="1" width="9" style="10"/>
    <col min="2" max="2" width="13.6333333333333" style="10" customWidth="1"/>
    <col min="3" max="4" width="12.625" style="10"/>
    <col min="5" max="5" width="9.375" style="10"/>
    <col min="6" max="12" width="12.625" style="10"/>
    <col min="13" max="16384" width="9" style="10"/>
  </cols>
  <sheetData>
    <row r="2" spans="2:4">
      <c r="C2" s="10" t="s">
        <v>34</v>
      </c>
      <c r="D2" s="10" t="s">
        <v>35</v>
      </c>
    </row>
    <row r="4" spans="2:4">
      <c r="B4" s="10" t="s">
        <v>36</v>
      </c>
      <c r="C4" s="10"/>
      <c r="D4" s="11"/>
    </row>
    <row r="5" spans="2:4">
      <c r="B5" s="10" t="s">
        <v>37</v>
      </c>
    </row>
    <row r="7" spans="2:4">
      <c r="B7" s="10" t="s">
        <v>38</v>
      </c>
    </row>
    <row r="8" spans="2:4">
      <c r="B8" s="10" t="s">
        <v>39</v>
      </c>
      <c r="D8" s="11"/>
    </row>
    <row r="9" spans="2:4">
      <c r="B9" s="10" t="s">
        <v>40</v>
      </c>
    </row>
    <row r="11" spans="2:4">
      <c r="B11" s="10" t="s">
        <v>41</v>
      </c>
    </row>
    <row r="12" spans="2:4">
      <c r="B12" s="10" t="s">
        <v>42</v>
      </c>
      <c r="D12" s="11"/>
    </row>
    <row r="14" spans="2:4">
      <c r="B14" s="10" t="s">
        <v>43</v>
      </c>
    </row>
    <row r="15" spans="2:4">
      <c r="B15" s="10" t="s">
        <v>44</v>
      </c>
    </row>
    <row r="16" spans="2:4">
      <c r="B16" s="10" t="s">
        <v>45</v>
      </c>
    </row>
    <row r="18" spans="2:4">
      <c r="B18" s="10" t="s">
        <v>46</v>
      </c>
      <c r="C18" s="10">
        <v>3148.5</v>
      </c>
    </row>
    <row r="19" spans="2:4">
      <c r="B19" s="10" t="s">
        <v>47</v>
      </c>
      <c r="C19" s="12">
        <f>C18/32</f>
        <v>98.390625</v>
      </c>
    </row>
    <row r="21" spans="2:4">
      <c r="B21" s="10" t="s">
        <v>48</v>
      </c>
      <c r="C21" s="10">
        <f>D4+D7+D11</f>
        <v>0</v>
      </c>
    </row>
    <row r="22" spans="2:4">
      <c r="D22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19"/>
  <sheetViews>
    <sheetView tabSelected="1" zoomScale="150" zoomScaleNormal="150" topLeftCell="A3" workbookViewId="0">
      <selection activeCell="D16" sqref="D16"/>
    </sheetView>
  </sheetViews>
  <sheetFormatPr defaultColWidth="9" defaultRowHeight="13.5" outlineLevelCol="4"/>
  <cols>
    <col min="1" max="1" width="11.5" style="7"/>
    <col min="2" max="2" width="11.2416666666667" style="7" customWidth="1"/>
    <col min="3" max="3" width="12.5583333333333" style="7" customWidth="1"/>
    <col min="4" max="4" width="9" style="7"/>
    <col min="5" max="5" width="13.75" style="7"/>
    <col min="6" max="16384" width="9" style="7"/>
  </cols>
  <sheetData>
    <row r="2" spans="1:5">
      <c r="A2" s="8"/>
      <c r="B2" s="8"/>
      <c r="E2" s="7" t="s">
        <v>49</v>
      </c>
    </row>
    <row r="3" spans="1:5">
      <c r="A3" s="9" t="s">
        <v>50</v>
      </c>
      <c r="B3" s="7">
        <f>C3+D3</f>
        <v>-30.42125</v>
      </c>
      <c r="C3" s="7">
        <v>67.96875</v>
      </c>
      <c r="D3" s="7">
        <v>-98.39</v>
      </c>
      <c r="E3" s="7">
        <f>B3</f>
        <v>-30.42125</v>
      </c>
    </row>
    <row r="4" spans="1:5">
      <c r="A4" s="9" t="s">
        <v>20</v>
      </c>
      <c r="B4" s="9">
        <v>-113.28125</v>
      </c>
      <c r="E4" s="7">
        <f>B4*(2*B13-1)</f>
        <v>-6.663601875</v>
      </c>
    </row>
    <row r="5" spans="1:5">
      <c r="A5" s="9" t="s">
        <v>7</v>
      </c>
      <c r="B5" s="9">
        <v>-135.15625</v>
      </c>
      <c r="E5" s="7">
        <f>B5*(2*B13-1)</f>
        <v>-7.950366375</v>
      </c>
    </row>
    <row r="6" spans="1:5">
      <c r="A6" s="9" t="s">
        <v>13</v>
      </c>
      <c r="B6" s="9">
        <v>-475.78125</v>
      </c>
      <c r="E6" s="7">
        <f>B6*(2*B13-1)</f>
        <v>-27.987127875</v>
      </c>
    </row>
    <row r="7" spans="1:5">
      <c r="A7" s="9" t="s">
        <v>19</v>
      </c>
      <c r="B7" s="9">
        <v>47.65625</v>
      </c>
      <c r="E7" s="7">
        <f>B7*(2*B13-1)</f>
        <v>2.803308375</v>
      </c>
    </row>
    <row r="8" spans="1:5">
      <c r="A8" s="9" t="s">
        <v>51</v>
      </c>
      <c r="B8" s="9">
        <v>-60.15625</v>
      </c>
      <c r="E8" s="7">
        <f>B8*(2*B18-1)</f>
        <v>48.125</v>
      </c>
    </row>
    <row r="9" spans="1:5">
      <c r="A9" s="9" t="s">
        <v>52</v>
      </c>
      <c r="B9" s="9">
        <v>-63.28125</v>
      </c>
      <c r="E9" s="7">
        <f>B9*(2*B15-1)</f>
        <v>3.722425875</v>
      </c>
    </row>
    <row r="10" spans="1:5">
      <c r="A10" s="9" t="s">
        <v>53</v>
      </c>
      <c r="B10" s="9">
        <v>-32.03125</v>
      </c>
      <c r="E10" s="7">
        <f>B10*(2*B19-1)</f>
        <v>1.5073527</v>
      </c>
    </row>
    <row r="11" spans="1:5">
      <c r="E11" s="7">
        <f>SUM(E3:E10)</f>
        <v>-16.864259175</v>
      </c>
    </row>
    <row r="12" spans="1:5">
      <c r="A12" s="7" t="s">
        <v>54</v>
      </c>
      <c r="B12" s="7">
        <v>0.26470588</v>
      </c>
    </row>
    <row r="13" spans="1:5">
      <c r="A13" s="7" t="s">
        <v>55</v>
      </c>
      <c r="B13" s="7">
        <v>0.52941176</v>
      </c>
    </row>
    <row r="14" spans="1:5">
      <c r="A14" s="7" t="s">
        <v>56</v>
      </c>
      <c r="B14" s="7">
        <f>1+B12-2*B13</f>
        <v>0.20588236</v>
      </c>
    </row>
    <row r="15" spans="1:5">
      <c r="A15" s="7" t="s">
        <v>57</v>
      </c>
      <c r="B15" s="7">
        <f>B12+B14</f>
        <v>0.47058824</v>
      </c>
    </row>
    <row r="16" spans="1:5">
      <c r="A16" s="7" t="s">
        <v>58</v>
      </c>
      <c r="B16" s="7">
        <f>1-B15</f>
        <v>0.52941176</v>
      </c>
    </row>
    <row r="18" spans="1:2">
      <c r="A18" s="7" t="s">
        <v>59</v>
      </c>
      <c r="B18" s="7">
        <v>0.1</v>
      </c>
    </row>
    <row r="19" spans="1:2">
      <c r="A19" s="7" t="s">
        <v>60</v>
      </c>
      <c r="B19" s="7">
        <f>B18*B13+(1-B13)*(1-B18)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115" zoomScaleNormal="115" topLeftCell="A22" workbookViewId="0">
      <selection activeCell="P10" sqref="P10"/>
    </sheetView>
  </sheetViews>
  <sheetFormatPr defaultColWidth="9" defaultRowHeight="13.5" outlineLevelCol="4"/>
  <cols>
    <col min="1" max="3" width="9" style="5"/>
    <col min="4" max="4" width="11.7333333333333" style="5" customWidth="1"/>
    <col min="5" max="5" width="11.5" style="5"/>
    <col min="6" max="16384" width="9" style="5"/>
  </cols>
  <sheetData>
    <row r="1" spans="1:5">
      <c r="B1" s="5" t="s">
        <v>61</v>
      </c>
      <c r="C1" s="5" t="b">
        <v>1</v>
      </c>
      <c r="D1" s="5" t="s">
        <v>62</v>
      </c>
      <c r="E1" s="5" t="s">
        <v>63</v>
      </c>
    </row>
    <row r="2" spans="1:5">
      <c r="C2" s="5">
        <v>4000</v>
      </c>
      <c r="E2" s="5">
        <v>4000</v>
      </c>
    </row>
    <row r="3" spans="1:5">
      <c r="A3" s="2" t="s">
        <v>22</v>
      </c>
      <c r="B3" s="2">
        <v>625</v>
      </c>
      <c r="C3" s="5">
        <f>C2+B3-98.39</f>
        <v>4526.61</v>
      </c>
      <c r="D3" s="28" t="s">
        <v>64</v>
      </c>
      <c r="E3" s="5">
        <f>D3+E2-98.39</f>
        <v>4454.735</v>
      </c>
    </row>
    <row r="4" spans="1:5">
      <c r="A4" s="2" t="s">
        <v>23</v>
      </c>
      <c r="B4" s="2">
        <v>300</v>
      </c>
      <c r="C4" s="5">
        <f t="shared" ref="C4:C34" si="0">C3+B4-98.39</f>
        <v>4728.22</v>
      </c>
      <c r="D4" s="6">
        <v>371.874999999999</v>
      </c>
      <c r="E4" s="5">
        <f t="shared" ref="E4:E34" si="1">D4+E3-98.39</f>
        <v>4728.22</v>
      </c>
    </row>
    <row r="5" spans="1:5">
      <c r="A5" s="2" t="s">
        <v>24</v>
      </c>
      <c r="B5" s="2">
        <v>25</v>
      </c>
      <c r="C5" s="5">
        <f t="shared" si="0"/>
        <v>4654.83</v>
      </c>
      <c r="D5" s="6">
        <v>187.5</v>
      </c>
      <c r="E5" s="5">
        <f t="shared" si="1"/>
        <v>4817.33</v>
      </c>
    </row>
    <row r="6" spans="1:5">
      <c r="A6" s="2" t="s">
        <v>25</v>
      </c>
      <c r="B6" s="2">
        <v>-350</v>
      </c>
      <c r="C6" s="5">
        <f t="shared" si="0"/>
        <v>4206.44</v>
      </c>
      <c r="D6" s="4">
        <v>-342.187499999999</v>
      </c>
      <c r="E6" s="5">
        <f t="shared" si="1"/>
        <v>4376.7525</v>
      </c>
    </row>
    <row r="7" spans="1:5">
      <c r="A7" s="2" t="s">
        <v>26</v>
      </c>
      <c r="B7" s="2">
        <v>-125</v>
      </c>
      <c r="C7" s="5">
        <f t="shared" si="0"/>
        <v>3983.05</v>
      </c>
      <c r="D7" s="4">
        <v>-146.874999999999</v>
      </c>
      <c r="E7" s="5">
        <f t="shared" si="1"/>
        <v>4131.4875</v>
      </c>
    </row>
    <row r="8" spans="1:5">
      <c r="A8" s="2" t="s">
        <v>27</v>
      </c>
      <c r="B8" s="2">
        <v>675</v>
      </c>
      <c r="C8" s="5">
        <f t="shared" si="0"/>
        <v>4559.66</v>
      </c>
      <c r="D8" s="4">
        <v>704.6875</v>
      </c>
      <c r="E8" s="5">
        <f t="shared" si="1"/>
        <v>4737.785</v>
      </c>
    </row>
    <row r="9" spans="1:5">
      <c r="A9" s="2" t="s">
        <v>28</v>
      </c>
      <c r="B9" s="2">
        <v>-675</v>
      </c>
      <c r="C9" s="5">
        <f t="shared" si="0"/>
        <v>3786.27</v>
      </c>
      <c r="D9" s="4">
        <v>-675</v>
      </c>
      <c r="E9" s="5">
        <f t="shared" si="1"/>
        <v>3964.395</v>
      </c>
    </row>
    <row r="10" spans="1:5">
      <c r="A10" s="2" t="s">
        <v>29</v>
      </c>
      <c r="B10" s="2">
        <v>-500</v>
      </c>
      <c r="C10" s="5">
        <f t="shared" si="0"/>
        <v>3187.88</v>
      </c>
      <c r="D10" s="4">
        <v>-579.6875</v>
      </c>
      <c r="E10" s="5">
        <f t="shared" si="1"/>
        <v>3286.3175</v>
      </c>
    </row>
    <row r="11" spans="1:5">
      <c r="A11" s="2" t="s">
        <v>30</v>
      </c>
      <c r="B11" s="2">
        <v>325</v>
      </c>
      <c r="C11" s="5">
        <f t="shared" si="0"/>
        <v>3414.49</v>
      </c>
      <c r="D11" s="6">
        <v>276.562499999999</v>
      </c>
      <c r="E11" s="5">
        <f t="shared" si="1"/>
        <v>3464.49</v>
      </c>
    </row>
    <row r="12" spans="1:5">
      <c r="A12" s="2" t="s">
        <v>22</v>
      </c>
      <c r="B12" s="2">
        <v>-250</v>
      </c>
      <c r="C12" s="5">
        <f t="shared" si="0"/>
        <v>3066.1</v>
      </c>
      <c r="D12" s="4">
        <v>-246.874999999999</v>
      </c>
      <c r="E12" s="5">
        <f t="shared" si="1"/>
        <v>3119.225</v>
      </c>
    </row>
    <row r="13" spans="1:5">
      <c r="A13" s="2" t="s">
        <v>23</v>
      </c>
      <c r="B13" s="2">
        <v>775</v>
      </c>
      <c r="C13" s="5">
        <f t="shared" si="0"/>
        <v>3742.71</v>
      </c>
      <c r="D13" s="6">
        <v>804.6875</v>
      </c>
      <c r="E13" s="5">
        <f t="shared" si="1"/>
        <v>3825.5225</v>
      </c>
    </row>
    <row r="14" spans="1:5">
      <c r="A14" s="2" t="s">
        <v>24</v>
      </c>
      <c r="B14" s="2">
        <v>775</v>
      </c>
      <c r="C14" s="5">
        <f t="shared" si="0"/>
        <v>4419.32</v>
      </c>
      <c r="D14" s="6">
        <v>709.375</v>
      </c>
      <c r="E14" s="5">
        <f t="shared" si="1"/>
        <v>4436.5075</v>
      </c>
    </row>
    <row r="15" spans="1:5">
      <c r="A15" s="2" t="s">
        <v>25</v>
      </c>
      <c r="B15" s="2">
        <v>-300</v>
      </c>
      <c r="C15" s="5">
        <f t="shared" si="0"/>
        <v>4020.93</v>
      </c>
      <c r="D15" s="4">
        <v>-242.187499999999</v>
      </c>
      <c r="E15" s="5">
        <f t="shared" si="1"/>
        <v>4095.93</v>
      </c>
    </row>
    <row r="16" spans="1:5">
      <c r="A16" s="2" t="s">
        <v>26</v>
      </c>
      <c r="B16" s="2">
        <v>825</v>
      </c>
      <c r="C16" s="5">
        <f t="shared" si="0"/>
        <v>4747.54</v>
      </c>
      <c r="D16" s="6">
        <v>724.999999999999</v>
      </c>
      <c r="E16" s="5">
        <f t="shared" si="1"/>
        <v>4722.54</v>
      </c>
    </row>
    <row r="17" spans="1:5">
      <c r="A17" s="2" t="s">
        <v>27</v>
      </c>
      <c r="B17" s="2">
        <v>650</v>
      </c>
      <c r="C17" s="5">
        <f t="shared" si="0"/>
        <v>5299.15</v>
      </c>
      <c r="D17" s="6">
        <v>609.374999999999</v>
      </c>
      <c r="E17" s="5">
        <f t="shared" si="1"/>
        <v>5233.525</v>
      </c>
    </row>
    <row r="18" spans="1:5">
      <c r="A18" s="2" t="s">
        <v>22</v>
      </c>
      <c r="B18" s="2">
        <v>-400</v>
      </c>
      <c r="C18" s="5">
        <f t="shared" si="0"/>
        <v>4800.76</v>
      </c>
      <c r="D18" s="4">
        <v>-303.124999999999</v>
      </c>
      <c r="E18" s="5">
        <f t="shared" si="1"/>
        <v>4832.01</v>
      </c>
    </row>
    <row r="19" spans="1:5">
      <c r="A19" s="2" t="s">
        <v>23</v>
      </c>
      <c r="B19" s="2">
        <v>-475</v>
      </c>
      <c r="C19" s="5">
        <f t="shared" si="0"/>
        <v>4227.37</v>
      </c>
      <c r="D19" s="4">
        <v>-226.5625</v>
      </c>
      <c r="E19" s="5">
        <f t="shared" si="1"/>
        <v>4507.0575</v>
      </c>
    </row>
    <row r="20" spans="1:5">
      <c r="A20" s="2" t="s">
        <v>24</v>
      </c>
      <c r="B20" s="2">
        <v>-300</v>
      </c>
      <c r="C20" s="5">
        <f t="shared" si="0"/>
        <v>3828.98</v>
      </c>
      <c r="D20" s="4">
        <v>-321.875</v>
      </c>
      <c r="E20" s="5">
        <f t="shared" si="1"/>
        <v>4086.7925</v>
      </c>
    </row>
    <row r="21" spans="1:5">
      <c r="A21" s="2" t="s">
        <v>25</v>
      </c>
      <c r="B21" s="2">
        <v>-800</v>
      </c>
      <c r="C21" s="5">
        <f t="shared" si="0"/>
        <v>2930.59</v>
      </c>
      <c r="D21" s="4">
        <v>-859.374999999999</v>
      </c>
      <c r="E21" s="5">
        <f t="shared" si="1"/>
        <v>3129.0275</v>
      </c>
    </row>
    <row r="22" spans="1:5">
      <c r="A22" s="2" t="s">
        <v>26</v>
      </c>
      <c r="B22" s="2">
        <v>675</v>
      </c>
      <c r="C22" s="5">
        <f t="shared" si="0"/>
        <v>3507.2</v>
      </c>
      <c r="D22" s="6">
        <v>648.437499999999</v>
      </c>
      <c r="E22" s="5">
        <f t="shared" si="1"/>
        <v>3679.075</v>
      </c>
    </row>
    <row r="23" spans="1:5">
      <c r="A23" s="2" t="s">
        <v>22</v>
      </c>
      <c r="B23" s="2">
        <v>-400</v>
      </c>
      <c r="C23" s="5">
        <f t="shared" si="0"/>
        <v>3008.81</v>
      </c>
      <c r="D23" s="4">
        <v>-398.4375</v>
      </c>
      <c r="E23" s="5">
        <f t="shared" si="1"/>
        <v>3182.2475</v>
      </c>
    </row>
    <row r="24" spans="1:5">
      <c r="A24" s="2" t="s">
        <v>23</v>
      </c>
      <c r="B24" s="2">
        <v>-275</v>
      </c>
      <c r="C24" s="5">
        <f t="shared" si="0"/>
        <v>2635.42</v>
      </c>
      <c r="D24" s="4">
        <v>-298.437499999999</v>
      </c>
      <c r="E24" s="5">
        <f t="shared" si="1"/>
        <v>2785.42</v>
      </c>
    </row>
    <row r="25" spans="1:5">
      <c r="A25" s="2" t="s">
        <v>24</v>
      </c>
      <c r="B25" s="2">
        <v>-500</v>
      </c>
      <c r="C25" s="5">
        <f t="shared" si="0"/>
        <v>2037.03</v>
      </c>
      <c r="D25" s="4">
        <v>-506.249999999999</v>
      </c>
      <c r="E25" s="5">
        <f t="shared" si="1"/>
        <v>2180.78</v>
      </c>
    </row>
    <row r="26" spans="1:5">
      <c r="A26" s="2" t="s">
        <v>22</v>
      </c>
      <c r="B26" s="2">
        <v>825</v>
      </c>
      <c r="C26" s="5">
        <f t="shared" si="0"/>
        <v>2763.64</v>
      </c>
      <c r="D26" s="4">
        <v>748.4375</v>
      </c>
      <c r="E26" s="5">
        <f t="shared" si="1"/>
        <v>2830.8275</v>
      </c>
    </row>
    <row r="27" spans="1:5">
      <c r="A27" s="2" t="s">
        <v>23</v>
      </c>
      <c r="B27" s="2">
        <v>325</v>
      </c>
      <c r="C27" s="5">
        <f t="shared" si="0"/>
        <v>2990.25</v>
      </c>
      <c r="D27" s="6">
        <v>445.312499999999</v>
      </c>
      <c r="E27" s="5">
        <f t="shared" si="1"/>
        <v>3177.75</v>
      </c>
    </row>
    <row r="28" spans="1:5">
      <c r="A28" s="2" t="s">
        <v>22</v>
      </c>
      <c r="B28" s="2">
        <v>-50</v>
      </c>
      <c r="C28" s="5">
        <f t="shared" si="0"/>
        <v>2841.86</v>
      </c>
      <c r="D28" s="6">
        <v>92.1875</v>
      </c>
      <c r="E28" s="5">
        <f t="shared" si="1"/>
        <v>3171.5475</v>
      </c>
    </row>
    <row r="29" spans="1:5">
      <c r="A29" s="2" t="s">
        <v>23</v>
      </c>
      <c r="B29" s="2">
        <v>700</v>
      </c>
      <c r="C29" s="5">
        <f t="shared" si="0"/>
        <v>3443.47</v>
      </c>
      <c r="D29" s="6">
        <v>629.687499999999</v>
      </c>
      <c r="E29" s="5">
        <f t="shared" si="1"/>
        <v>3702.845</v>
      </c>
    </row>
    <row r="30" spans="1:5">
      <c r="A30" s="2" t="s">
        <v>24</v>
      </c>
      <c r="B30" s="2">
        <v>-225</v>
      </c>
      <c r="C30" s="5">
        <f t="shared" si="0"/>
        <v>3120.08</v>
      </c>
      <c r="D30" s="4">
        <v>-203.124999999999</v>
      </c>
      <c r="E30" s="5">
        <f t="shared" si="1"/>
        <v>3401.33</v>
      </c>
    </row>
    <row r="31" spans="1:5">
      <c r="A31" s="2" t="s">
        <v>22</v>
      </c>
      <c r="B31" s="2">
        <v>-375</v>
      </c>
      <c r="C31" s="5">
        <f t="shared" si="0"/>
        <v>2646.69</v>
      </c>
      <c r="D31" s="4">
        <v>-410.937499999999</v>
      </c>
      <c r="E31" s="5">
        <f t="shared" si="1"/>
        <v>2892.0025</v>
      </c>
    </row>
    <row r="32" spans="1:5">
      <c r="A32" s="2" t="s">
        <v>23</v>
      </c>
      <c r="B32" s="2">
        <v>675</v>
      </c>
      <c r="C32" s="5">
        <f t="shared" si="0"/>
        <v>3223.3</v>
      </c>
      <c r="D32" s="6">
        <v>540.624999999999</v>
      </c>
      <c r="E32" s="5">
        <f t="shared" si="1"/>
        <v>3334.2375</v>
      </c>
    </row>
    <row r="33" spans="1:5">
      <c r="A33" s="2" t="s">
        <v>24</v>
      </c>
      <c r="B33" s="2">
        <v>575</v>
      </c>
      <c r="C33" s="5">
        <f t="shared" si="0"/>
        <v>3699.91</v>
      </c>
      <c r="D33" s="6">
        <v>653.124999999999</v>
      </c>
      <c r="E33" s="5">
        <f t="shared" si="1"/>
        <v>3888.9725</v>
      </c>
    </row>
    <row r="34" spans="1:5">
      <c r="A34" s="2" t="s">
        <v>22</v>
      </c>
      <c r="B34" s="2">
        <v>-575</v>
      </c>
      <c r="C34" s="5">
        <f t="shared" si="0"/>
        <v>3026.52</v>
      </c>
      <c r="D34" s="4">
        <v>-764.062499999999</v>
      </c>
      <c r="E34" s="5">
        <f t="shared" si="1"/>
        <v>3026.52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zoomScale="145" zoomScaleNormal="145" workbookViewId="0">
      <selection activeCell="G39" sqref="G39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65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2026-01-29T12:33:59Z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