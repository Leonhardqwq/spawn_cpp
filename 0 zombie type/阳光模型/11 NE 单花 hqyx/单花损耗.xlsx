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45" windowHeight="86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<sst xmlns="http://schemas.openxmlformats.org/spreadsheetml/2006/main" count="56" uniqueCount="40">
  <si>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2000-2002</t>
  </si>
  <si>
    <t>2002-2004</t>
  </si>
  <si>
    <t>2004-2006</t>
  </si>
  <si>
    <t>2006-2008</t>
  </si>
  <si>
    <t>2008-2010</t>
  </si>
  <si>
    <t>2010-2012</t>
  </si>
  <si>
    <t>2012-2014</t>
  </si>
  <si>
    <t>2014-2016</t>
  </si>
  <si>
    <t>2016-2018</t>
  </si>
  <si>
    <t>2018-2020</t>
  </si>
  <si>
    <t>2020-2022</t>
  </si>
  <si>
    <t>2022-2024</t>
  </si>
  <si>
    <t>2024-2026</t>
  </si>
  <si>
    <t>2026-2028</t>
  </si>
  <si>
    <t>2028-2030</t>
  </si>
  <si>
    <t>2030-2032</t>
  </si>
  <si>
    <t>813F1A7C</t>
  </si>
  <si>
    <t>本关使用仙人掌</t>
  </si>
  <si>
    <t>底线南瓜</t>
  </si>
  <si>
    <t>开始</t>
  </si>
  <si>
    <t>结束</t>
  </si>
  <si>
    <t>啃食墓碑</t>
  </si>
  <si>
    <t>裂夹</t>
  </si>
  <si>
    <t>结束南瓜血</t>
  </si>
  <si>
    <t>起始</t>
  </si>
  <si>
    <t xml:space="preserve"> 差值</t>
  </si>
  <si>
    <t>阳光差值</t>
  </si>
  <si>
    <t>#45447EC9</t>
  </si>
  <si>
    <t>#11FC17F8</t>
  </si>
  <si>
    <t>#00A6A695</t>
  </si>
  <si>
    <t>#070C2E02</t>
  </si>
  <si>
    <t>总南瓜数量</t>
  </si>
  <si>
    <t>曾损</t>
  </si>
  <si>
    <t>44hp</t>
  </si>
  <si>
    <t>曾损阳光</t>
  </si>
  <si>
    <t>裂荚仙人掌</t>
  </si>
  <si>
    <t>总共8</t>
  </si>
  <si>
    <t>平摊总阳光</t>
  </si>
  <si>
    <t>阳光损耗Y</t>
  </si>
  <si>
    <t>Y .adj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</si>
</sst>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5"/>
  <sheetViews>
    <sheetView tabSelected="1" workbookViewId="0">
      <selection activeCell="B11" sqref="B11"/>
    </sheetView>
  </sheetViews>
  <sheetFormatPr defaultColWidth="9" defaultRowHeight="14.25"/>
  <cols>
    <col min="1" max="1" width="17.9166666666667" customWidth="1"/>
    <col min="2" max="37" width="9.58333333333333" customWidth="1"/>
  </cols>
  <sheetData>
    <row r="1" spans="1:3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>
      <c r="A2" t="s">
        <v>16</v>
      </c>
    </row>
    <row r="3" spans="1:33">
      <c r="A3" t="s">
        <v>17</v>
      </c>
      <c r="H3">
        <v>1</v>
      </c>
      <c r="N3">
        <v>1</v>
      </c>
      <c r="X3">
        <v>1</v>
      </c>
      <c r="AA3">
        <v>1</v>
      </c>
    </row>
    <row r="4" spans="1:33">
      <c r="A4" t="s">
        <v>18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>
      <c r="A5" t="s">
        <v>19</v>
      </c>
      <c r="B5">
        <v>8000</v>
      </c>
    </row>
    <row r="6" spans="1:33">
      <c r="A6" t="s">
        <v>20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>
      <c r="A7" t="s">
        <v>21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>
      <c r="A8" t="s">
        <v>22</v>
      </c>
      <c r="H8">
        <v>1</v>
      </c>
      <c r="O8">
        <v>1</v>
      </c>
      <c r="AA8">
        <v>1</v>
      </c>
    </row>
    <row r="9" spans="1:33">
      <c r="A9" t="s">
        <v>23</v>
      </c>
      <c r="B9">
        <f>964+1684+1712+1020+2240+3192</f>
        <v>10812</v>
      </c>
      <c r="C9" t="s">
        <v>24</v>
      </c>
      <c r="D9">
        <f>2860+3904+2020+4000+4000+4000</f>
        <v>20784</v>
      </c>
      <c r="E9" t="s">
        <v>25</v>
      </c>
      <c r="F9">
        <f>D9-B9</f>
        <v>9972</v>
      </c>
      <c r="G9" t="s">
        <v>26</v>
      </c>
      <c r="H9">
        <f>F9/4000*125</f>
        <v>311.625</v>
      </c>
      <c r="R9" t="s">
        <v>27</v>
      </c>
      <c r="Y9" t="s">
        <v>28</v>
      </c>
      <c r="AD9" t="s">
        <v>29</v>
      </c>
      <c r="AF9" t="s">
        <v>30</v>
      </c>
    </row>
    <row r="10" spans="1:3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</v>
      </c>
      <c r="H10" t="s">
        <v>35</v>
      </c>
      <c r="I10" t="s">
        <v>36</v>
      </c>
    </row>
    <row r="11" spans="1:33">
      <c r="A11" t="s">
        <v>37</v>
      </c>
      <c r="B11">
        <f>H9+F10+(B10+8)*125+75</f>
        <v>3845.95833333333</v>
      </c>
    </row>
    <row r="13" spans="1:3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>
      <c r="A14" t="s">
        <v>39</v>
      </c>
      <c r="B14">
        <f>B13-125*(B8+B4+B3)+$B11/32+(1-B7)*75</f>
        <v>445.186197916667</v>
      </c>
      <c r="C14">
        <f t="shared" ref="B14:AG14" si="1">C13-125*(C8+C4+C3)+$B11/32+(1-C7)*75</f>
        <v>-104.813802083333</v>
      </c>
      <c r="D14">
        <f t="shared" si="1"/>
        <v>670.186197916667</v>
      </c>
      <c r="E14">
        <f t="shared" si="1"/>
        <v>220.186197916667</v>
      </c>
      <c r="F14">
        <f t="shared" si="1"/>
        <v>-904.813802083333</v>
      </c>
      <c r="G14">
        <f t="shared" si="1"/>
        <v>-429.813802083333</v>
      </c>
      <c r="H14">
        <f t="shared" si="1"/>
        <v>-754.813802083333</v>
      </c>
      <c r="I14">
        <f t="shared" si="1"/>
        <v>-254.813802083333</v>
      </c>
      <c r="J14">
        <f t="shared" si="1"/>
        <v>-104.813802083333</v>
      </c>
      <c r="K14">
        <f t="shared" si="1"/>
        <v>695.186197916667</v>
      </c>
      <c r="L14">
        <f t="shared" si="1"/>
        <v>-829.813802083333</v>
      </c>
      <c r="M14">
        <f t="shared" si="1"/>
        <v>-254.813802083333</v>
      </c>
      <c r="N14">
        <f t="shared" si="1"/>
        <v>-629.813802083333</v>
      </c>
      <c r="O14">
        <f t="shared" si="1"/>
        <v>-154.813802083333</v>
      </c>
      <c r="P14">
        <f t="shared" si="1"/>
        <v>-304.813802083333</v>
      </c>
      <c r="Q14">
        <f t="shared" si="1"/>
        <v>-254.813802083333</v>
      </c>
      <c r="R14">
        <f t="shared" si="1"/>
        <v>45.1861979166667</v>
      </c>
      <c r="S14">
        <f t="shared" si="1"/>
        <v>-129.813802083333</v>
      </c>
      <c r="T14">
        <f t="shared" si="1"/>
        <v>495.186197916667</v>
      </c>
      <c r="U14">
        <f t="shared" si="1"/>
        <v>-329.813802083333</v>
      </c>
      <c r="V14">
        <f t="shared" si="1"/>
        <v>-4.81380208333333</v>
      </c>
      <c r="W14">
        <f t="shared" si="1"/>
        <v>745.186197916667</v>
      </c>
      <c r="X14">
        <f t="shared" si="1"/>
        <v>-329.813802083333</v>
      </c>
      <c r="Y14">
        <f t="shared" si="1"/>
        <v>-54.8138020833333</v>
      </c>
      <c r="Z14">
        <f t="shared" si="1"/>
        <v>720.186197916667</v>
      </c>
      <c r="AA14">
        <f t="shared" si="1"/>
        <v>-654.813802083333</v>
      </c>
      <c r="AB14">
        <f t="shared" si="1"/>
        <v>-779.813802083333</v>
      </c>
      <c r="AC14">
        <f t="shared" si="1"/>
        <v>620.186197916667</v>
      </c>
      <c r="AD14">
        <f t="shared" si="1"/>
        <v>-154.813802083333</v>
      </c>
      <c r="AE14">
        <f t="shared" si="1"/>
        <v>370.186197916667</v>
      </c>
      <c r="AF14">
        <f t="shared" si="1"/>
        <v>95.1861979166667</v>
      </c>
      <c r="AG14">
        <f t="shared" si="1"/>
        <v>895.186197916667</v>
      </c>
    </row>
    <row r="15" spans="1:33">
      <c r="B15">
        <f>B13-125*(B8+B4+B3)+(1-B7)*75</f>
        <v>325</v>
      </c>
      <c r="C15">
        <f t="shared" ref="C15:AG15" si="2">C13-125*(C8+C4+C3)+(1-C7)*75</f>
        <v>-225</v>
      </c>
      <c r="D15">
        <f t="shared" si="2"/>
        <v>550</v>
      </c>
      <c r="E15">
        <f t="shared" si="2"/>
        <v>100</v>
      </c>
      <c r="F15">
        <f t="shared" si="2"/>
        <v>-1025</v>
      </c>
      <c r="G15">
        <f t="shared" si="2"/>
        <v>-550</v>
      </c>
      <c r="H15">
        <f t="shared" si="2"/>
        <v>-875</v>
      </c>
      <c r="I15">
        <f t="shared" si="2"/>
        <v>-375</v>
      </c>
      <c r="J15">
        <f t="shared" si="2"/>
        <v>-225</v>
      </c>
      <c r="K15">
        <f t="shared" si="2"/>
        <v>575</v>
      </c>
      <c r="L15">
        <f t="shared" si="2"/>
        <v>-950</v>
      </c>
      <c r="M15">
        <f t="shared" si="2"/>
        <v>-375</v>
      </c>
      <c r="N15">
        <f t="shared" si="2"/>
        <v>-750</v>
      </c>
      <c r="O15">
        <f t="shared" si="2"/>
        <v>-275</v>
      </c>
      <c r="P15">
        <f t="shared" si="2"/>
        <v>-425</v>
      </c>
      <c r="Q15">
        <f t="shared" si="2"/>
        <v>-375</v>
      </c>
      <c r="R15">
        <f t="shared" si="2"/>
        <v>-75</v>
      </c>
      <c r="S15">
        <f t="shared" si="2"/>
        <v>-250</v>
      </c>
      <c r="T15">
        <f t="shared" si="2"/>
        <v>375</v>
      </c>
      <c r="U15">
        <f t="shared" si="2"/>
        <v>-450</v>
      </c>
      <c r="V15">
        <f t="shared" si="2"/>
        <v>-125</v>
      </c>
      <c r="W15">
        <f t="shared" si="2"/>
        <v>625</v>
      </c>
      <c r="X15">
        <f t="shared" si="2"/>
        <v>-450</v>
      </c>
      <c r="Y15">
        <f t="shared" si="2"/>
        <v>-175</v>
      </c>
      <c r="Z15">
        <f t="shared" si="2"/>
        <v>600</v>
      </c>
      <c r="AA15">
        <f t="shared" si="2"/>
        <v>-775</v>
      </c>
      <c r="AB15">
        <f t="shared" si="2"/>
        <v>-900</v>
      </c>
      <c r="AC15">
        <f t="shared" si="2"/>
        <v>500</v>
      </c>
      <c r="AD15">
        <f t="shared" si="2"/>
        <v>-275</v>
      </c>
      <c r="AE15">
        <f t="shared" si="2"/>
        <v>250</v>
      </c>
      <c r="AF15">
        <f t="shared" si="2"/>
        <v>-25</v>
      </c>
      <c r="AG15">
        <f t="shared" si="2"/>
        <v>775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Administrator</cp:lastModifiedBy>
  <dcterms:created xsi:type="dcterms:W3CDTF">2015-06-05T18:19:00Z</dcterms:created>
  <dcterms:modified xsi:type="dcterms:W3CDTF">2026-01-24T06:21:22Z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6645F1D3541B4296A9FE0B8370D5905B_12</vt:lpwstr>
  </property>
  <property fmtid="{D5CDD505-2E9C-101B-9397-08002B2CF9AE}" pid="3" name="KSOProductBuildVer">
    <vt:lpwstr>2052-12.1.0.23542</vt:lpwstr>
  </property>
</Properties>
</file>