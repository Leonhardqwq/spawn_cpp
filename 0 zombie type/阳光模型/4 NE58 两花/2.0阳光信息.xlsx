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90" windowHeight="12045" activeTab="1"/>
  </bookViews>
  <sheets>
    <sheet name="汇总" sheetId="4" r:id="rId1"/>
    <sheet name="折线对比1" sheetId="7" r:id="rId2"/>
    <sheet name="额外阳光消耗" sheetId="6" r:id="rId3"/>
    <sheet name="模型参数" sheetId="5" r:id="rId4"/>
    <sheet name="破阵率" sheetId="8" r:id="rId5"/>
    <sheet name="截图" sheetId="10" r:id="rId6"/>
  </sheets>
  <calcPr calcId="144525"/>
</workbook>
</file>

<file path=xl/sharedStrings.xml><?xml version="1.0" encoding="utf-8"?>
<sst xmlns="http://schemas.openxmlformats.org/spreadsheetml/2006/main" count="83" uniqueCount="50">
  <si>
    <t>Y</t>
  </si>
  <si>
    <t>红</t>
  </si>
  <si>
    <t>气</t>
  </si>
  <si>
    <t>橄</t>
  </si>
  <si>
    <t>舞</t>
  </si>
  <si>
    <t>篮</t>
  </si>
  <si>
    <t>撑</t>
  </si>
  <si>
    <t>白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</si>
  <si>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</si>
  <si>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</si>
  <si>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</si>
  <si>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</si>
  <si>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</si>
  <si>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</si>
  <si>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</si>
  <si>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</si>
  <si>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</si>
  <si>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</si>
  <si>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</si>
  <si>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</si>
  <si>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</si>
  <si>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</si>
  <si>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</si>
  <si>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</si>
  <si>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</si>
  <si>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2034f</t>
  </si>
  <si>
    <t>2036f</t>
  </si>
  <si>
    <t>2038f</t>
  </si>
  <si>
    <t>2040f</t>
  </si>
  <si>
    <t>2042f</t>
  </si>
  <si>
    <t>2044f</t>
  </si>
  <si>
    <t>2046f</t>
  </si>
  <si>
    <t>2048f</t>
  </si>
  <si>
    <t>2050f</t>
  </si>
  <si>
    <t>dlt</t>
  </si>
  <si>
    <t>pred</t>
  </si>
  <si>
    <t>个数</t>
  </si>
  <si>
    <t>均摊阳光</t>
  </si>
  <si>
    <t>瓜损</t>
  </si>
  <si>
    <t>曾损</t>
  </si>
  <si>
    <t>南瓜</t>
  </si>
  <si>
    <t>总共</t>
  </si>
  <si>
    <t>矿工南瓜</t>
  </si>
  <si>
    <t>最后</t>
  </si>
  <si>
    <t>中途</t>
  </si>
  <si>
    <t>总计</t>
  </si>
  <si>
    <t>百f 5%</t>
  </si>
  <si>
    <t>千f 5%</t>
  </si>
  <si>
    <t>万f 5%</t>
  </si>
  <si>
    <t>砍花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</si>
</sst>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"TRUE"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折线对比1!$C$2:$C$27</c:f>
              <c:numCache>
                <c:formatCode>General</c:formatCode>
                <c:ptCount val="26"/>
                <c:pt idx="0">
                  <c:v>8000</c:v>
                </c:pt>
                <c:pt idx="1">
                  <c:v>7847.88</c:v>
                </c:pt>
                <c:pt idx="2">
                  <c:v>7525.76</c:v>
                </c:pt>
                <c:pt idx="3">
                  <c:v>7328.64</c:v>
                </c:pt>
                <c:pt idx="4">
                  <c:v>7106.52</c:v>
                </c:pt>
                <c:pt idx="5">
                  <c:v>6409.4</c:v>
                </c:pt>
                <c:pt idx="6">
                  <c:v>5887.28</c:v>
                </c:pt>
                <c:pt idx="7">
                  <c:v>5315.16</c:v>
                </c:pt>
                <c:pt idx="8">
                  <c:v>4793.04</c:v>
                </c:pt>
                <c:pt idx="9">
                  <c:v>4685.92</c:v>
                </c:pt>
                <c:pt idx="10">
                  <c:v>4053.8</c:v>
                </c:pt>
                <c:pt idx="11">
                  <c:v>3681.68</c:v>
                </c:pt>
                <c:pt idx="12">
                  <c:v>2709.56</c:v>
                </c:pt>
                <c:pt idx="13">
                  <c:v>1952.44</c:v>
                </c:pt>
                <c:pt idx="14">
                  <c:v>1220.32</c:v>
                </c:pt>
                <c:pt idx="15">
                  <c:v>338.200000000002</c:v>
                </c:pt>
                <c:pt idx="16">
                  <c:v>161.080000000002</c:v>
                </c:pt>
                <c:pt idx="17">
                  <c:v>-196.039999999998</c:v>
                </c:pt>
                <c:pt idx="18">
                  <c:v>-1053.16</c:v>
                </c:pt>
                <c:pt idx="19">
                  <c:v>-2075.28</c:v>
                </c:pt>
                <c:pt idx="20">
                  <c:v>-2397.4</c:v>
                </c:pt>
                <c:pt idx="21">
                  <c:v>-3204.52</c:v>
                </c:pt>
                <c:pt idx="22">
                  <c:v>-3726.64</c:v>
                </c:pt>
                <c:pt idx="23">
                  <c:v>-3948.76</c:v>
                </c:pt>
                <c:pt idx="24">
                  <c:v>-4320.88</c:v>
                </c:pt>
                <c:pt idx="25">
                  <c:v>-4613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"pred"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折线对比1!$D$2:$D$27</c:f>
              <c:numCache>
                <c:formatCode>General</c:formatCode>
                <c:ptCount val="26"/>
                <c:pt idx="0">
                  <c:v>8000</c:v>
                </c:pt>
                <c:pt idx="1">
                  <c:v>7692</c:v>
                </c:pt>
                <c:pt idx="2">
                  <c:v>7279</c:v>
                </c:pt>
                <c:pt idx="3">
                  <c:v>7126</c:v>
                </c:pt>
                <c:pt idx="4">
                  <c:v>6736</c:v>
                </c:pt>
                <c:pt idx="5">
                  <c:v>6011</c:v>
                </c:pt>
                <c:pt idx="6">
                  <c:v>5478</c:v>
                </c:pt>
                <c:pt idx="7">
                  <c:v>4868</c:v>
                </c:pt>
                <c:pt idx="8">
                  <c:v>4485</c:v>
                </c:pt>
                <c:pt idx="9">
                  <c:v>4080</c:v>
                </c:pt>
                <c:pt idx="10">
                  <c:v>3436</c:v>
                </c:pt>
                <c:pt idx="11">
                  <c:v>3185</c:v>
                </c:pt>
                <c:pt idx="12">
                  <c:v>2265</c:v>
                </c:pt>
                <c:pt idx="13">
                  <c:v>1523</c:v>
                </c:pt>
                <c:pt idx="14">
                  <c:v>764</c:v>
                </c:pt>
                <c:pt idx="15">
                  <c:v>324</c:v>
                </c:pt>
                <c:pt idx="16">
                  <c:v>82</c:v>
                </c:pt>
                <c:pt idx="17">
                  <c:v>-213</c:v>
                </c:pt>
                <c:pt idx="18">
                  <c:v>-991</c:v>
                </c:pt>
                <c:pt idx="19">
                  <c:v>-2057</c:v>
                </c:pt>
                <c:pt idx="20">
                  <c:v>-2305</c:v>
                </c:pt>
                <c:pt idx="21">
                  <c:v>-2975</c:v>
                </c:pt>
                <c:pt idx="22">
                  <c:v>-3602</c:v>
                </c:pt>
                <c:pt idx="23">
                  <c:v>-3959</c:v>
                </c:pt>
                <c:pt idx="24">
                  <c:v>-4372</c:v>
                </c:pt>
                <c:pt idx="25">
                  <c:v>-4644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8500"/>
          <c:min val="-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748665</xdr:colOff>
      <xdr:row>4</xdr:row>
      <xdr:rowOff>92710</xdr:rowOff>
    </xdr:from>
    <xdr:to>
      <xdr:col>12</xdr:col>
      <xdr:colOff>116205</xdr:colOff>
      <xdr:row>23</xdr:row>
      <xdr:rowOff>27940</xdr:rowOff>
    </xdr:to>
    <xdr:graphicFrame>
      <xdr:nvGraphicFramePr>
        <xdr:cNvPr id="4" name="图表 3"/>
        <xdr:cNvGraphicFramePr/>
      </xdr:nvGraphicFramePr>
      <xdr:xfrm>
        <a:off x="2834640" y="778510"/>
        <a:ext cx="5748020" cy="3192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zoomScale="145" zoomScaleNormal="145" workbookViewId="0">
      <selection activeCell="G14" sqref="G14"/>
    </sheetView>
  </sheetViews>
  <sheetFormatPr defaultColWidth="9" defaultRowHeight="13.5"/>
  <cols>
    <col min="1" max="1" width="9" style="10"/>
    <col min="2" max="2" width="13.75" style="10"/>
    <col min="3" max="16384" width="9" style="10"/>
  </cols>
  <sheetData>
    <row r="1" spans="1:12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L1" s="10">
        <v>8000</v>
      </c>
    </row>
    <row r="2" spans="1:12">
      <c r="A2" s="9" t="s">
        <v>9</v>
      </c>
      <c r="B2" s="9">
        <f>L2-L1</f>
        <v>-80</v>
      </c>
      <c r="C2" s="11">
        <v>1</v>
      </c>
      <c r="D2" s="11">
        <v>1</v>
      </c>
      <c r="E2" s="11">
        <v>0</v>
      </c>
      <c r="F2" s="11">
        <v>0</v>
      </c>
      <c r="G2" s="11">
        <v>0</v>
      </c>
      <c r="H2" s="11">
        <v>1</v>
      </c>
      <c r="I2" s="11">
        <v>1</v>
      </c>
      <c r="J2" s="11">
        <v>12901</v>
      </c>
      <c r="K2" s="12"/>
      <c r="L2" s="10">
        <v>7920</v>
      </c>
    </row>
    <row r="3" spans="1:12">
      <c r="A3" s="9" t="s">
        <v>10</v>
      </c>
      <c r="B3" s="9">
        <f t="shared" ref="B3:B26" si="0">L3-L2</f>
        <v>-250</v>
      </c>
      <c r="C3" s="11">
        <v>1</v>
      </c>
      <c r="D3" s="11">
        <v>1</v>
      </c>
      <c r="E3" s="11">
        <v>0</v>
      </c>
      <c r="F3" s="11">
        <v>1</v>
      </c>
      <c r="G3" s="11">
        <v>0</v>
      </c>
      <c r="H3" s="11">
        <v>0</v>
      </c>
      <c r="I3" s="11">
        <v>0</v>
      </c>
      <c r="J3" s="11">
        <v>12401</v>
      </c>
      <c r="K3" s="12"/>
      <c r="L3" s="10">
        <v>7670</v>
      </c>
    </row>
    <row r="4" spans="1:12">
      <c r="A4" s="9" t="s">
        <v>11</v>
      </c>
      <c r="B4" s="9">
        <f t="shared" si="0"/>
        <v>-125</v>
      </c>
      <c r="C4" s="11">
        <v>1</v>
      </c>
      <c r="D4" s="11">
        <v>1</v>
      </c>
      <c r="E4" s="11">
        <v>0</v>
      </c>
      <c r="F4" s="11">
        <v>0</v>
      </c>
      <c r="G4" s="11">
        <v>0</v>
      </c>
      <c r="H4" s="11">
        <v>0</v>
      </c>
      <c r="I4" s="11">
        <v>1</v>
      </c>
      <c r="J4" s="11">
        <v>13401</v>
      </c>
      <c r="K4" s="12"/>
      <c r="L4" s="10">
        <v>7545</v>
      </c>
    </row>
    <row r="5" spans="1:12">
      <c r="A5" s="9" t="s">
        <v>12</v>
      </c>
      <c r="B5" s="9">
        <f t="shared" si="0"/>
        <v>-150</v>
      </c>
      <c r="C5" s="11">
        <v>1</v>
      </c>
      <c r="D5" s="11">
        <v>1</v>
      </c>
      <c r="E5" s="11">
        <v>0</v>
      </c>
      <c r="F5" s="11">
        <v>0</v>
      </c>
      <c r="G5" s="11">
        <v>1</v>
      </c>
      <c r="H5" s="11">
        <v>1</v>
      </c>
      <c r="I5" s="11">
        <v>1</v>
      </c>
      <c r="J5" s="11">
        <v>12401</v>
      </c>
      <c r="K5" s="12"/>
      <c r="L5" s="10">
        <v>7395</v>
      </c>
    </row>
    <row r="6" spans="1:12">
      <c r="A6" s="9" t="s">
        <v>13</v>
      </c>
      <c r="B6" s="9">
        <f t="shared" si="0"/>
        <v>-625</v>
      </c>
      <c r="C6" s="11">
        <v>1</v>
      </c>
      <c r="D6" s="11">
        <v>1</v>
      </c>
      <c r="E6" s="11">
        <v>1</v>
      </c>
      <c r="F6" s="11">
        <v>0</v>
      </c>
      <c r="G6" s="11">
        <v>1</v>
      </c>
      <c r="H6" s="11">
        <v>0</v>
      </c>
      <c r="I6" s="11">
        <v>0</v>
      </c>
      <c r="J6" s="11">
        <v>12901</v>
      </c>
      <c r="K6" s="12"/>
      <c r="L6" s="10">
        <v>6770</v>
      </c>
    </row>
    <row r="7" spans="1:12">
      <c r="A7" s="9" t="s">
        <v>14</v>
      </c>
      <c r="B7" s="9">
        <f t="shared" si="0"/>
        <v>-450</v>
      </c>
      <c r="C7" s="11">
        <v>1</v>
      </c>
      <c r="D7" s="11">
        <v>1</v>
      </c>
      <c r="E7" s="11">
        <v>0</v>
      </c>
      <c r="F7" s="11">
        <v>1</v>
      </c>
      <c r="G7" s="11">
        <v>1</v>
      </c>
      <c r="H7" s="11">
        <v>1</v>
      </c>
      <c r="I7" s="11">
        <v>1</v>
      </c>
      <c r="J7" s="11">
        <v>14401</v>
      </c>
      <c r="K7" s="12"/>
      <c r="L7" s="10">
        <v>6320</v>
      </c>
    </row>
    <row r="8" spans="1:12">
      <c r="A8" s="9" t="s">
        <v>15</v>
      </c>
      <c r="B8" s="9">
        <f t="shared" si="0"/>
        <v>-500</v>
      </c>
      <c r="C8" s="11">
        <v>1</v>
      </c>
      <c r="D8" s="11">
        <v>1</v>
      </c>
      <c r="E8" s="11">
        <v>1</v>
      </c>
      <c r="F8" s="11">
        <v>0</v>
      </c>
      <c r="G8" s="11">
        <v>1</v>
      </c>
      <c r="H8" s="11">
        <v>0</v>
      </c>
      <c r="I8" s="11">
        <v>1</v>
      </c>
      <c r="J8" s="11">
        <v>15901</v>
      </c>
      <c r="K8" s="12"/>
      <c r="L8" s="10">
        <v>5820</v>
      </c>
    </row>
    <row r="9" spans="1:12">
      <c r="A9" s="9" t="s">
        <v>16</v>
      </c>
      <c r="B9" s="9">
        <f t="shared" si="0"/>
        <v>-450</v>
      </c>
      <c r="C9" s="11">
        <v>1</v>
      </c>
      <c r="D9" s="11">
        <v>1</v>
      </c>
      <c r="E9" s="11">
        <v>0</v>
      </c>
      <c r="F9" s="11">
        <v>0</v>
      </c>
      <c r="G9" s="11">
        <v>1</v>
      </c>
      <c r="H9" s="11">
        <v>1</v>
      </c>
      <c r="I9" s="11">
        <v>0</v>
      </c>
      <c r="J9" s="11">
        <v>16401</v>
      </c>
      <c r="K9" s="12"/>
      <c r="L9" s="10">
        <v>5370</v>
      </c>
    </row>
    <row r="10" spans="1:12">
      <c r="A10" s="9" t="s">
        <v>17</v>
      </c>
      <c r="B10" s="9">
        <f t="shared" si="0"/>
        <v>-35</v>
      </c>
      <c r="C10" s="11">
        <v>1</v>
      </c>
      <c r="D10" s="11">
        <v>0</v>
      </c>
      <c r="E10" s="11">
        <v>1</v>
      </c>
      <c r="F10" s="11">
        <v>0</v>
      </c>
      <c r="G10" s="11">
        <v>1</v>
      </c>
      <c r="H10" s="11">
        <v>1</v>
      </c>
      <c r="I10" s="11">
        <v>1</v>
      </c>
      <c r="J10" s="11">
        <v>14401</v>
      </c>
      <c r="K10" s="12"/>
      <c r="L10" s="10">
        <v>5335</v>
      </c>
    </row>
    <row r="11" spans="1:12">
      <c r="A11" s="9" t="s">
        <v>18</v>
      </c>
      <c r="B11" s="9">
        <f t="shared" si="0"/>
        <v>-560</v>
      </c>
      <c r="C11" s="11">
        <v>1</v>
      </c>
      <c r="D11" s="11">
        <v>1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13401</v>
      </c>
      <c r="K11" s="12"/>
      <c r="L11" s="10">
        <v>4775</v>
      </c>
    </row>
    <row r="12" spans="1:12">
      <c r="A12" s="9" t="s">
        <v>19</v>
      </c>
      <c r="B12" s="9">
        <f t="shared" si="0"/>
        <v>-300</v>
      </c>
      <c r="C12" s="11">
        <v>1</v>
      </c>
      <c r="D12" s="11">
        <v>1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11401</v>
      </c>
      <c r="K12" s="12"/>
      <c r="L12" s="10">
        <v>4475</v>
      </c>
    </row>
    <row r="13" spans="1:12">
      <c r="A13" s="9" t="s">
        <v>20</v>
      </c>
      <c r="B13" s="9">
        <f t="shared" si="0"/>
        <v>-900</v>
      </c>
      <c r="C13" s="11">
        <v>1</v>
      </c>
      <c r="D13" s="11">
        <v>1</v>
      </c>
      <c r="E13" s="11">
        <v>1</v>
      </c>
      <c r="F13" s="11">
        <v>1</v>
      </c>
      <c r="G13" s="11">
        <v>1</v>
      </c>
      <c r="H13" s="11">
        <v>0</v>
      </c>
      <c r="I13" s="11">
        <v>0</v>
      </c>
      <c r="J13" s="11">
        <v>11901</v>
      </c>
      <c r="K13" s="12"/>
      <c r="L13" s="10">
        <v>3575</v>
      </c>
    </row>
    <row r="14" spans="1:12">
      <c r="A14" s="9" t="s">
        <v>21</v>
      </c>
      <c r="B14" s="9">
        <f t="shared" si="0"/>
        <v>-685</v>
      </c>
      <c r="C14" s="11">
        <v>1</v>
      </c>
      <c r="D14" s="11">
        <v>1</v>
      </c>
      <c r="E14" s="11">
        <v>1</v>
      </c>
      <c r="F14" s="11">
        <v>1</v>
      </c>
      <c r="G14" s="11">
        <v>0</v>
      </c>
      <c r="H14" s="11">
        <v>0</v>
      </c>
      <c r="I14" s="11">
        <v>1</v>
      </c>
      <c r="J14" s="11">
        <v>14401</v>
      </c>
      <c r="K14" s="12"/>
      <c r="L14" s="10">
        <v>2890</v>
      </c>
    </row>
    <row r="15" spans="1:12">
      <c r="A15" s="9" t="s">
        <v>22</v>
      </c>
      <c r="B15" s="9">
        <f t="shared" si="0"/>
        <v>-660</v>
      </c>
      <c r="C15" s="11">
        <v>1</v>
      </c>
      <c r="D15" s="11">
        <v>1</v>
      </c>
      <c r="E15" s="11">
        <v>1</v>
      </c>
      <c r="F15" s="11">
        <v>0</v>
      </c>
      <c r="G15" s="11">
        <v>1</v>
      </c>
      <c r="H15" s="11">
        <v>0</v>
      </c>
      <c r="I15" s="11">
        <v>0</v>
      </c>
      <c r="J15" s="11">
        <v>10901</v>
      </c>
      <c r="K15" s="12"/>
      <c r="L15" s="10">
        <v>2230</v>
      </c>
    </row>
    <row r="16" spans="1:12">
      <c r="A16" s="9" t="s">
        <v>23</v>
      </c>
      <c r="B16" s="9">
        <f t="shared" si="0"/>
        <v>-810</v>
      </c>
      <c r="C16" s="11">
        <v>1</v>
      </c>
      <c r="D16" s="11">
        <v>0</v>
      </c>
      <c r="E16" s="11">
        <v>1</v>
      </c>
      <c r="F16" s="11">
        <v>0</v>
      </c>
      <c r="G16" s="11">
        <v>1</v>
      </c>
      <c r="H16" s="11">
        <v>1</v>
      </c>
      <c r="I16" s="11">
        <v>1</v>
      </c>
      <c r="J16" s="11">
        <v>12401</v>
      </c>
      <c r="K16" s="12"/>
      <c r="L16" s="10">
        <v>1420</v>
      </c>
    </row>
    <row r="17" spans="1:12">
      <c r="A17" s="9" t="s">
        <v>24</v>
      </c>
      <c r="B17" s="9">
        <f t="shared" si="0"/>
        <v>-105</v>
      </c>
      <c r="C17" s="11">
        <v>1</v>
      </c>
      <c r="D17" s="11">
        <v>1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11901</v>
      </c>
      <c r="K17" s="12"/>
      <c r="L17" s="10">
        <v>1315</v>
      </c>
    </row>
    <row r="18" spans="1:12">
      <c r="A18" s="9" t="s">
        <v>25</v>
      </c>
      <c r="B18" s="9">
        <f t="shared" si="0"/>
        <v>-285</v>
      </c>
      <c r="C18" s="11">
        <v>1</v>
      </c>
      <c r="D18" s="11">
        <v>1</v>
      </c>
      <c r="E18" s="11">
        <v>0</v>
      </c>
      <c r="F18" s="11">
        <v>0</v>
      </c>
      <c r="G18" s="11">
        <v>1</v>
      </c>
      <c r="H18" s="11">
        <v>1</v>
      </c>
      <c r="I18" s="11">
        <v>1</v>
      </c>
      <c r="J18" s="11">
        <v>17901</v>
      </c>
      <c r="K18" s="12"/>
      <c r="L18" s="10">
        <v>1030</v>
      </c>
    </row>
    <row r="19" spans="1:13">
      <c r="A19" s="9" t="s">
        <v>26</v>
      </c>
      <c r="B19" s="9">
        <f t="shared" si="0"/>
        <v>-785</v>
      </c>
      <c r="C19" s="11">
        <v>1</v>
      </c>
      <c r="D19" s="11">
        <v>1</v>
      </c>
      <c r="E19" s="11">
        <v>1</v>
      </c>
      <c r="F19" s="11">
        <v>1</v>
      </c>
      <c r="G19" s="11">
        <v>0</v>
      </c>
      <c r="H19" s="11">
        <v>0</v>
      </c>
      <c r="I19" s="11">
        <v>0</v>
      </c>
      <c r="J19" s="11">
        <v>15901</v>
      </c>
      <c r="K19" s="12"/>
      <c r="L19" s="10">
        <v>245</v>
      </c>
      <c r="M19" s="10">
        <v>2235</v>
      </c>
    </row>
    <row r="20" spans="1:13">
      <c r="A20" s="9" t="s">
        <v>27</v>
      </c>
      <c r="B20" s="9">
        <f t="shared" si="0"/>
        <v>-950</v>
      </c>
      <c r="C20" s="11">
        <v>1</v>
      </c>
      <c r="D20" s="11">
        <v>1</v>
      </c>
      <c r="E20" s="11">
        <v>1</v>
      </c>
      <c r="F20" s="11">
        <v>1</v>
      </c>
      <c r="G20" s="11">
        <v>1</v>
      </c>
      <c r="H20" s="11">
        <v>1</v>
      </c>
      <c r="I20" s="11">
        <v>0</v>
      </c>
      <c r="J20" s="11">
        <v>11901</v>
      </c>
      <c r="K20" s="12"/>
      <c r="L20" s="10">
        <f>M20-M19+L19</f>
        <v>-705</v>
      </c>
      <c r="M20" s="10">
        <v>1285</v>
      </c>
    </row>
    <row r="21" spans="1:13">
      <c r="A21" s="9" t="s">
        <v>28</v>
      </c>
      <c r="B21" s="9">
        <f t="shared" si="0"/>
        <v>-250</v>
      </c>
      <c r="C21" s="11">
        <v>1</v>
      </c>
      <c r="D21" s="11">
        <v>1</v>
      </c>
      <c r="E21" s="11">
        <v>0</v>
      </c>
      <c r="F21" s="11">
        <v>0</v>
      </c>
      <c r="G21" s="11">
        <v>0</v>
      </c>
      <c r="H21" s="11">
        <v>1</v>
      </c>
      <c r="I21" s="11">
        <v>1</v>
      </c>
      <c r="J21" s="11">
        <v>16401</v>
      </c>
      <c r="K21" s="12"/>
      <c r="L21" s="10">
        <f>M21-M20+L20</f>
        <v>-955</v>
      </c>
      <c r="M21" s="10">
        <v>1035</v>
      </c>
    </row>
    <row r="22" spans="1:14">
      <c r="A22" s="9" t="s">
        <v>29</v>
      </c>
      <c r="B22" s="9">
        <f t="shared" si="0"/>
        <v>-735</v>
      </c>
      <c r="C22" s="11">
        <v>1</v>
      </c>
      <c r="D22" s="11">
        <v>1</v>
      </c>
      <c r="E22" s="11">
        <v>1</v>
      </c>
      <c r="F22" s="11">
        <v>0</v>
      </c>
      <c r="G22" s="11">
        <v>1</v>
      </c>
      <c r="H22" s="11">
        <v>0</v>
      </c>
      <c r="I22" s="11">
        <v>1</v>
      </c>
      <c r="J22" s="11">
        <v>12401</v>
      </c>
      <c r="K22" s="12"/>
      <c r="L22" s="10">
        <f>M22-M21+L21</f>
        <v>-1690</v>
      </c>
      <c r="M22" s="10">
        <v>300</v>
      </c>
      <c r="N22" s="10">
        <v>2300</v>
      </c>
    </row>
    <row r="23" spans="1:14">
      <c r="A23" s="9" t="s">
        <v>30</v>
      </c>
      <c r="B23" s="9">
        <f t="shared" si="0"/>
        <v>-450</v>
      </c>
      <c r="C23" s="11">
        <v>1</v>
      </c>
      <c r="D23" s="11">
        <v>1</v>
      </c>
      <c r="E23" s="11">
        <v>1</v>
      </c>
      <c r="F23" s="11">
        <v>0</v>
      </c>
      <c r="G23" s="11">
        <v>1</v>
      </c>
      <c r="H23" s="11">
        <v>0</v>
      </c>
      <c r="I23" s="11">
        <v>1</v>
      </c>
      <c r="J23" s="11">
        <v>14901</v>
      </c>
      <c r="K23" s="12"/>
      <c r="L23" s="10">
        <f>N23-N22+L22</f>
        <v>-2140</v>
      </c>
      <c r="N23" s="10">
        <v>1850</v>
      </c>
    </row>
    <row r="24" s="10" customFormat="1" spans="1:14">
      <c r="A24" s="9" t="s">
        <v>31</v>
      </c>
      <c r="B24" s="9">
        <f t="shared" si="0"/>
        <v>-150</v>
      </c>
      <c r="C24" s="11">
        <v>1</v>
      </c>
      <c r="D24" s="11">
        <v>0</v>
      </c>
      <c r="E24" s="11">
        <v>1</v>
      </c>
      <c r="F24" s="11">
        <v>0</v>
      </c>
      <c r="G24" s="11">
        <v>1</v>
      </c>
      <c r="H24" s="11">
        <v>0</v>
      </c>
      <c r="I24" s="11">
        <v>0</v>
      </c>
      <c r="J24" s="11">
        <v>12401</v>
      </c>
      <c r="K24" s="12"/>
      <c r="L24" s="10">
        <f>N24-N23+L23</f>
        <v>-2290</v>
      </c>
      <c r="N24" s="10">
        <v>1700</v>
      </c>
    </row>
    <row r="25" spans="1:14">
      <c r="A25" s="9" t="s">
        <v>32</v>
      </c>
      <c r="B25" s="9">
        <f t="shared" si="0"/>
        <v>-300</v>
      </c>
      <c r="C25" s="11">
        <v>1</v>
      </c>
      <c r="D25" s="11">
        <v>0</v>
      </c>
      <c r="E25" s="11">
        <v>1</v>
      </c>
      <c r="F25" s="11">
        <v>0</v>
      </c>
      <c r="G25" s="11">
        <v>0</v>
      </c>
      <c r="H25" s="11">
        <v>1</v>
      </c>
      <c r="I25" s="11">
        <v>0</v>
      </c>
      <c r="J25" s="11">
        <v>13401</v>
      </c>
      <c r="K25" s="12"/>
      <c r="L25" s="10">
        <f>N25-N24+L24</f>
        <v>-2590</v>
      </c>
      <c r="N25" s="10">
        <v>1400</v>
      </c>
    </row>
    <row r="26" spans="1:14">
      <c r="A26" s="9" t="s">
        <v>33</v>
      </c>
      <c r="B26" s="9">
        <f t="shared" si="0"/>
        <v>-220</v>
      </c>
      <c r="C26" s="11">
        <v>1</v>
      </c>
      <c r="D26" s="11">
        <v>1</v>
      </c>
      <c r="E26" s="11">
        <v>0</v>
      </c>
      <c r="F26" s="11">
        <v>0</v>
      </c>
      <c r="G26" s="11">
        <v>1</v>
      </c>
      <c r="H26" s="11">
        <v>0</v>
      </c>
      <c r="I26" s="11">
        <v>0</v>
      </c>
      <c r="J26" s="11">
        <v>14401</v>
      </c>
      <c r="K26" s="12"/>
      <c r="L26" s="10">
        <f>N26-N25+L25</f>
        <v>-2810</v>
      </c>
      <c r="N26" s="10">
        <v>1180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zoomScale="160" zoomScaleNormal="160" workbookViewId="0">
      <selection activeCell="D3" sqref="D3:D27"/>
    </sheetView>
  </sheetViews>
  <sheetFormatPr defaultColWidth="9" defaultRowHeight="13.5" outlineLevelCol="3"/>
  <cols>
    <col min="1" max="2" width="9" style="2"/>
    <col min="3" max="3" width="9.375" style="2"/>
    <col min="4" max="4" width="11.7333333333333" style="2" customWidth="1"/>
    <col min="5" max="16384" width="9" style="2"/>
  </cols>
  <sheetData>
    <row r="1" spans="2:4">
      <c r="B1" s="2" t="s">
        <v>34</v>
      </c>
      <c r="C1" s="2" t="b">
        <v>1</v>
      </c>
      <c r="D1" s="2" t="s">
        <v>35</v>
      </c>
    </row>
    <row r="2" spans="3:4">
      <c r="C2" s="2">
        <v>8000</v>
      </c>
      <c r="D2" s="2">
        <v>8000</v>
      </c>
    </row>
    <row r="3" spans="1:4">
      <c r="A3" s="2" t="s">
        <v>9</v>
      </c>
      <c r="B3" s="9">
        <v>-80</v>
      </c>
      <c r="C3" s="2">
        <f>C2+B3-72.12</f>
        <v>7847.88</v>
      </c>
      <c r="D3" s="2">
        <v>7692</v>
      </c>
    </row>
    <row r="4" spans="1:4">
      <c r="A4" s="2" t="s">
        <v>10</v>
      </c>
      <c r="B4" s="9">
        <v>-250</v>
      </c>
      <c r="C4" s="2">
        <f t="shared" ref="C4:C27" si="0">C3+B4-72.12</f>
        <v>7525.76</v>
      </c>
      <c r="D4" s="2">
        <v>7279</v>
      </c>
    </row>
    <row r="5" spans="1:4">
      <c r="A5" s="2" t="s">
        <v>11</v>
      </c>
      <c r="B5" s="9">
        <v>-125</v>
      </c>
      <c r="C5" s="2">
        <f t="shared" si="0"/>
        <v>7328.64</v>
      </c>
      <c r="D5" s="2">
        <v>7126</v>
      </c>
    </row>
    <row r="6" spans="1:4">
      <c r="A6" s="2" t="s">
        <v>12</v>
      </c>
      <c r="B6" s="9">
        <v>-150</v>
      </c>
      <c r="C6" s="2">
        <f t="shared" si="0"/>
        <v>7106.52</v>
      </c>
      <c r="D6" s="2">
        <v>6736</v>
      </c>
    </row>
    <row r="7" spans="1:4">
      <c r="A7" s="2" t="s">
        <v>13</v>
      </c>
      <c r="B7" s="9">
        <v>-625</v>
      </c>
      <c r="C7" s="2">
        <f t="shared" si="0"/>
        <v>6409.4</v>
      </c>
      <c r="D7" s="2">
        <v>6011</v>
      </c>
    </row>
    <row r="8" spans="1:4">
      <c r="A8" s="2" t="s">
        <v>14</v>
      </c>
      <c r="B8" s="9">
        <v>-450</v>
      </c>
      <c r="C8" s="2">
        <f t="shared" si="0"/>
        <v>5887.28</v>
      </c>
      <c r="D8" s="2">
        <v>5478</v>
      </c>
    </row>
    <row r="9" spans="1:4">
      <c r="A9" s="2" t="s">
        <v>15</v>
      </c>
      <c r="B9" s="9">
        <v>-500</v>
      </c>
      <c r="C9" s="2">
        <f t="shared" si="0"/>
        <v>5315.16</v>
      </c>
      <c r="D9" s="2">
        <v>4868</v>
      </c>
    </row>
    <row r="10" spans="1:4">
      <c r="A10" s="2" t="s">
        <v>16</v>
      </c>
      <c r="B10" s="9">
        <v>-450</v>
      </c>
      <c r="C10" s="2">
        <f t="shared" si="0"/>
        <v>4793.04</v>
      </c>
      <c r="D10" s="2">
        <v>4485</v>
      </c>
    </row>
    <row r="11" spans="1:4">
      <c r="A11" s="2" t="s">
        <v>17</v>
      </c>
      <c r="B11" s="9">
        <v>-35</v>
      </c>
      <c r="C11" s="2">
        <f t="shared" si="0"/>
        <v>4685.92</v>
      </c>
      <c r="D11" s="2">
        <v>4080</v>
      </c>
    </row>
    <row r="12" spans="1:4">
      <c r="A12" s="2" t="s">
        <v>18</v>
      </c>
      <c r="B12" s="9">
        <v>-560</v>
      </c>
      <c r="C12" s="2">
        <f t="shared" si="0"/>
        <v>4053.8</v>
      </c>
      <c r="D12" s="2">
        <v>3436</v>
      </c>
    </row>
    <row r="13" spans="1:4">
      <c r="A13" s="2" t="s">
        <v>19</v>
      </c>
      <c r="B13" s="9">
        <v>-300</v>
      </c>
      <c r="C13" s="2">
        <f t="shared" si="0"/>
        <v>3681.68</v>
      </c>
      <c r="D13" s="2">
        <v>3185</v>
      </c>
    </row>
    <row r="14" spans="1:4">
      <c r="A14" s="2" t="s">
        <v>20</v>
      </c>
      <c r="B14" s="9">
        <v>-900</v>
      </c>
      <c r="C14" s="2">
        <f t="shared" si="0"/>
        <v>2709.56</v>
      </c>
      <c r="D14" s="2">
        <v>2265</v>
      </c>
    </row>
    <row r="15" spans="1:4">
      <c r="A15" s="2" t="s">
        <v>21</v>
      </c>
      <c r="B15" s="9">
        <v>-685</v>
      </c>
      <c r="C15" s="2">
        <f t="shared" si="0"/>
        <v>1952.44</v>
      </c>
      <c r="D15" s="2">
        <v>1523</v>
      </c>
    </row>
    <row r="16" spans="1:4">
      <c r="A16" s="2" t="s">
        <v>22</v>
      </c>
      <c r="B16" s="9">
        <v>-660</v>
      </c>
      <c r="C16" s="2">
        <f t="shared" si="0"/>
        <v>1220.32</v>
      </c>
      <c r="D16" s="2">
        <v>764</v>
      </c>
    </row>
    <row r="17" spans="1:4">
      <c r="A17" s="2" t="s">
        <v>23</v>
      </c>
      <c r="B17" s="9">
        <v>-810</v>
      </c>
      <c r="C17" s="2">
        <f t="shared" si="0"/>
        <v>338.200000000002</v>
      </c>
      <c r="D17" s="2">
        <v>324</v>
      </c>
    </row>
    <row r="18" spans="1:4">
      <c r="A18" s="2" t="s">
        <v>24</v>
      </c>
      <c r="B18" s="9">
        <v>-105</v>
      </c>
      <c r="C18" s="2">
        <f t="shared" si="0"/>
        <v>161.080000000002</v>
      </c>
      <c r="D18" s="2">
        <v>82</v>
      </c>
    </row>
    <row r="19" spans="1:4">
      <c r="A19" s="2" t="s">
        <v>25</v>
      </c>
      <c r="B19" s="9">
        <v>-285</v>
      </c>
      <c r="C19" s="2">
        <f t="shared" si="0"/>
        <v>-196.039999999998</v>
      </c>
      <c r="D19" s="2">
        <v>-213</v>
      </c>
    </row>
    <row r="20" spans="1:4">
      <c r="A20" s="2" t="s">
        <v>26</v>
      </c>
      <c r="B20" s="9">
        <v>-785</v>
      </c>
      <c r="C20" s="2">
        <f t="shared" si="0"/>
        <v>-1053.16</v>
      </c>
      <c r="D20" s="2">
        <v>-991</v>
      </c>
    </row>
    <row r="21" spans="1:4">
      <c r="A21" s="2" t="s">
        <v>27</v>
      </c>
      <c r="B21" s="9">
        <v>-950</v>
      </c>
      <c r="C21" s="2">
        <f t="shared" si="0"/>
        <v>-2075.28</v>
      </c>
      <c r="D21" s="2">
        <v>-2057</v>
      </c>
    </row>
    <row r="22" spans="1:4">
      <c r="A22" s="2" t="s">
        <v>28</v>
      </c>
      <c r="B22" s="9">
        <v>-250</v>
      </c>
      <c r="C22" s="2">
        <f t="shared" si="0"/>
        <v>-2397.4</v>
      </c>
      <c r="D22" s="2">
        <v>-2305</v>
      </c>
    </row>
    <row r="23" spans="1:4">
      <c r="A23" s="2" t="s">
        <v>29</v>
      </c>
      <c r="B23" s="9">
        <v>-735</v>
      </c>
      <c r="C23" s="2">
        <f t="shared" si="0"/>
        <v>-3204.52</v>
      </c>
      <c r="D23" s="2">
        <v>-2975</v>
      </c>
    </row>
    <row r="24" spans="1:4">
      <c r="A24" s="2" t="s">
        <v>30</v>
      </c>
      <c r="B24" s="9">
        <v>-450</v>
      </c>
      <c r="C24" s="2">
        <f t="shared" si="0"/>
        <v>-3726.64</v>
      </c>
      <c r="D24" s="2">
        <v>-3602</v>
      </c>
    </row>
    <row r="25" spans="1:4">
      <c r="A25" s="2" t="s">
        <v>31</v>
      </c>
      <c r="B25" s="9">
        <v>-150</v>
      </c>
      <c r="C25" s="2">
        <f t="shared" si="0"/>
        <v>-3948.76</v>
      </c>
      <c r="D25" s="2">
        <v>-3959</v>
      </c>
    </row>
    <row r="26" spans="1:4">
      <c r="A26" s="2" t="s">
        <v>32</v>
      </c>
      <c r="B26" s="9">
        <v>-300</v>
      </c>
      <c r="C26" s="2">
        <f t="shared" si="0"/>
        <v>-4320.88</v>
      </c>
      <c r="D26" s="2">
        <v>-4372</v>
      </c>
    </row>
    <row r="27" spans="1:4">
      <c r="A27" s="2" t="s">
        <v>33</v>
      </c>
      <c r="B27" s="9">
        <v>-220</v>
      </c>
      <c r="C27" s="2">
        <f t="shared" si="0"/>
        <v>-4613</v>
      </c>
      <c r="D27" s="2">
        <v>-4644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0"/>
  <sheetViews>
    <sheetView zoomScale="130" zoomScaleNormal="130" workbookViewId="0">
      <selection activeCell="D5" sqref="D5"/>
    </sheetView>
  </sheetViews>
  <sheetFormatPr defaultColWidth="9" defaultRowHeight="13.5" outlineLevelCol="3"/>
  <cols>
    <col min="1" max="5" width="9" style="7"/>
    <col min="6" max="6" width="9.375" style="7"/>
    <col min="7" max="16384" width="9" style="7"/>
  </cols>
  <sheetData>
    <row r="2" spans="3:4">
      <c r="C2" s="7" t="s">
        <v>36</v>
      </c>
      <c r="D2" s="7" t="s">
        <v>37</v>
      </c>
    </row>
    <row r="3" spans="2:4">
      <c r="B3" s="7" t="s">
        <v>38</v>
      </c>
      <c r="C3" s="7">
        <v>0.166</v>
      </c>
      <c r="D3" s="7">
        <f>1600*C3/25</f>
        <v>10.624</v>
      </c>
    </row>
    <row r="4" spans="2:4">
      <c r="B4" s="7" t="s">
        <v>39</v>
      </c>
      <c r="C4" s="7">
        <v>2</v>
      </c>
      <c r="D4" s="7">
        <f>(8*50+150+75)*C4/25</f>
        <v>50</v>
      </c>
    </row>
    <row r="5" spans="2:4">
      <c r="B5" s="7" t="s">
        <v>40</v>
      </c>
      <c r="C5" s="7">
        <f>20.7/9</f>
        <v>2.3</v>
      </c>
      <c r="D5" s="7">
        <f>125*(C5)/25</f>
        <v>11.5</v>
      </c>
    </row>
    <row r="6" spans="2:4">
      <c r="B6" s="7" t="s">
        <v>41</v>
      </c>
      <c r="D6" s="7">
        <f>SUM(D3:D5)</f>
        <v>72.124</v>
      </c>
    </row>
    <row r="7" spans="1:1">
      <c r="A7" s="8"/>
    </row>
    <row r="8" spans="1:4">
      <c r="A8" s="8" t="s">
        <v>42</v>
      </c>
      <c r="B8" s="7" t="s">
        <v>43</v>
      </c>
      <c r="C8" s="7">
        <v>2.1</v>
      </c>
      <c r="D8" s="7">
        <f>125*(C8)/25</f>
        <v>10.5</v>
      </c>
    </row>
    <row r="9" spans="1:4">
      <c r="A9" s="8"/>
      <c r="B9" s="7" t="s">
        <v>44</v>
      </c>
      <c r="C9" s="7">
        <v>13</v>
      </c>
      <c r="D9" s="7">
        <f>125*(C9)/25</f>
        <v>65</v>
      </c>
    </row>
    <row r="10" spans="1:4">
      <c r="A10" s="8"/>
      <c r="B10" s="7" t="s">
        <v>45</v>
      </c>
      <c r="C10" s="7">
        <f>SUM(C8:C9)</f>
        <v>15.1</v>
      </c>
      <c r="D10" s="7">
        <f>125*(C10)/25</f>
        <v>75.5</v>
      </c>
    </row>
  </sheetData>
  <mergeCells count="1">
    <mergeCell ref="A8:A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zoomScale="190" zoomScaleNormal="190" workbookViewId="0">
      <selection activeCell="A4" sqref="A4"/>
    </sheetView>
  </sheetViews>
  <sheetFormatPr defaultColWidth="9" defaultRowHeight="13.5" outlineLevelRow="2" outlineLevelCol="7"/>
  <cols>
    <col min="1" max="1" width="10.375" style="3"/>
    <col min="2" max="2" width="9" style="3"/>
    <col min="3" max="3" width="9.375" style="3"/>
    <col min="4" max="4" width="11.9083333333333" style="3" customWidth="1"/>
    <col min="5" max="5" width="10.375" style="3"/>
    <col min="6" max="7" width="9.375" style="3"/>
    <col min="8" max="8" width="10.9833333333333" style="3" customWidth="1"/>
    <col min="9" max="16384" width="9" style="3"/>
  </cols>
  <sheetData>
    <row r="1" spans="1:8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5" t="s">
        <v>8</v>
      </c>
    </row>
    <row r="2" spans="1:8">
      <c r="A2" s="6">
        <v>0</v>
      </c>
      <c r="B2" s="6">
        <v>376.5828</v>
      </c>
      <c r="C2" s="6">
        <v>426.6289</v>
      </c>
      <c r="D2" s="6">
        <v>178.5053</v>
      </c>
      <c r="E2" s="5">
        <v>72.652</v>
      </c>
      <c r="F2" s="5">
        <v>146.0837</v>
      </c>
      <c r="G2" s="5">
        <v>-62.9863</v>
      </c>
      <c r="H2" s="5">
        <v>-173.188</v>
      </c>
    </row>
    <row r="3" spans="1:1">
      <c r="A3" s="3">
        <f>A2+72.12</f>
        <v>72.12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6"/>
  <sheetViews>
    <sheetView zoomScale="235" zoomScaleNormal="235" workbookViewId="0">
      <selection activeCell="A18" sqref="A18"/>
    </sheetView>
  </sheetViews>
  <sheetFormatPr defaultColWidth="9" defaultRowHeight="13.5" outlineLevelRow="5" outlineLevelCol="2"/>
  <sheetData>
    <row r="2" customFormat="1" spans="2:3">
      <c r="B2" s="1" t="s">
        <v>46</v>
      </c>
      <c r="C2" s="1">
        <v>-145</v>
      </c>
    </row>
    <row r="3" customFormat="1" spans="2:3">
      <c r="B3" s="1" t="s">
        <v>47</v>
      </c>
      <c r="C3" s="1">
        <v>-215</v>
      </c>
    </row>
    <row r="4" customFormat="1" spans="2:3">
      <c r="B4" s="1" t="s">
        <v>48</v>
      </c>
      <c r="C4" s="1">
        <v>-235</v>
      </c>
    </row>
    <row r="5" customFormat="1"/>
    <row r="6" customFormat="1" spans="2:3">
      <c r="B6" s="2" t="s">
        <v>49</v>
      </c>
      <c r="C6" s="2"/>
    </row>
  </sheetData>
  <mergeCells count="1">
    <mergeCell ref="B6:C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A1" sqref="$A1:$XFD1048576"/>
    </sheetView>
  </sheetViews>
  <sheetFormatPr defaultColWidth="9" defaultRowHeight="13.5"/>
  <cols>
    <col min="2" max="2" width="13.75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折线对比1</vt:lpstr>
      <vt:lpstr>额外阳光消耗</vt:lpstr>
      <vt:lpstr>模型参数</vt:lpstr>
      <vt:lpstr>破阵率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2025-05-03T19:14:25Z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