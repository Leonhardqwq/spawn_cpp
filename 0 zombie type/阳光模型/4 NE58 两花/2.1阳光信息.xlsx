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80" windowHeight="13200" activeTab="1"/>
  </bookViews>
  <sheets>
    <sheet name="汇总" sheetId="4" r:id="rId1"/>
    <sheet name="折线对比1" sheetId="7" r:id="rId2"/>
    <sheet name="额外阳光消耗" sheetId="6" r:id="rId3"/>
    <sheet name="模型参数" sheetId="5" r:id="rId4"/>
    <sheet name="破阵率" sheetId="8" r:id="rId5"/>
    <sheet name="截图" sheetId="10" r:id="rId6"/>
  </sheets>
  <calcPr calcId="144525"/>
</workbook>
</file>

<file path=xl/sharedStrings.xml><?xml version="1.0" encoding="utf-8"?>
<sst xmlns="http://schemas.openxmlformats.org/spreadsheetml/2006/main" count="53" uniqueCount="38">
  <si>
    <t>Y</t>
  </si>
  <si>
    <t>红</t>
  </si>
  <si>
    <t>气</t>
  </si>
  <si>
    <t>橄</t>
  </si>
  <si>
    <t>舞</t>
  </si>
  <si>
    <t>篮</t>
  </si>
  <si>
    <t>撑</t>
  </si>
  <si>
    <t>白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</si>
  <si>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</si>
  <si>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</si>
  <si>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</si>
  <si>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</si>
  <si>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</si>
  <si>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</si>
  <si>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</si>
  <si>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</si>
  <si>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</si>
  <si>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</si>
  <si>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</si>
  <si>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dlt</t>
  </si>
  <si>
    <t>pred</t>
  </si>
  <si>
    <t>个数</t>
  </si>
  <si>
    <t>均摊阳光</t>
  </si>
  <si>
    <t>南瓜</t>
  </si>
  <si>
    <t>总共</t>
  </si>
  <si>
    <t>理论</t>
  </si>
  <si>
    <t>差值</t>
  </si>
  <si>
    <t>矿工南瓜</t>
  </si>
  <si>
    <t>最后</t>
  </si>
  <si>
    <t>中途</t>
  </si>
  <si>
    <t>总计</t>
  </si>
  <si>
    <t>矿工比例</t>
  </si>
  <si>
    <t>理论比例</t>
  </si>
  <si>
    <t>矿工消耗系数</t>
  </si>
  <si>
    <t>百f</t>
  </si>
  <si>
    <t>千f</t>
  </si>
  <si>
    <t>万f</t>
  </si>
  <si>
    <t>砍花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</si>
</sst>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折线对比1!$C$2:$C$12</c:f>
              <c:numCache>
                <c:formatCode>General</c:formatCode>
                <c:ptCount val="11"/>
                <c:pt idx="0">
                  <c:v>2000</c:v>
                </c:pt>
                <c:pt idx="1">
                  <c:v>2063.02</c:v>
                </c:pt>
                <c:pt idx="2">
                  <c:v>2011.04</c:v>
                </c:pt>
                <c:pt idx="3">
                  <c:v>2854.06</c:v>
                </c:pt>
                <c:pt idx="4">
                  <c:v>3367.08</c:v>
                </c:pt>
                <c:pt idx="5">
                  <c:v>3045.1</c:v>
                </c:pt>
                <c:pt idx="6">
                  <c:v>2558.12</c:v>
                </c:pt>
                <c:pt idx="7">
                  <c:v>2766.14</c:v>
                </c:pt>
                <c:pt idx="8">
                  <c:v>2379.16</c:v>
                </c:pt>
                <c:pt idx="9">
                  <c:v>2582.18</c:v>
                </c:pt>
                <c:pt idx="10">
                  <c:v>2685.2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折线对比1!$D$2:$D$12</c:f>
              <c:numCache>
                <c:formatCode>General</c:formatCode>
                <c:ptCount val="11"/>
                <c:pt idx="0">
                  <c:v>2000</c:v>
                </c:pt>
                <c:pt idx="1">
                  <c:v>1993</c:v>
                </c:pt>
                <c:pt idx="2">
                  <c:v>1733</c:v>
                </c:pt>
                <c:pt idx="3">
                  <c:v>2486</c:v>
                </c:pt>
                <c:pt idx="4">
                  <c:v>2954</c:v>
                </c:pt>
                <c:pt idx="5">
                  <c:v>2914</c:v>
                </c:pt>
                <c:pt idx="6">
                  <c:v>2597</c:v>
                </c:pt>
                <c:pt idx="7">
                  <c:v>2474</c:v>
                </c:pt>
                <c:pt idx="8">
                  <c:v>2100</c:v>
                </c:pt>
                <c:pt idx="9">
                  <c:v>2398</c:v>
                </c:pt>
                <c:pt idx="10">
                  <c:v>2645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35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179070</xdr:colOff>
      <xdr:row>4</xdr:row>
      <xdr:rowOff>168275</xdr:rowOff>
    </xdr:from>
    <xdr:to>
      <xdr:col>6</xdr:col>
      <xdr:colOff>504190</xdr:colOff>
      <xdr:row>21</xdr:row>
      <xdr:rowOff>62865</xdr:rowOff>
    </xdr:to>
    <xdr:graphicFrame>
      <xdr:nvGraphicFramePr>
        <xdr:cNvPr id="4" name="图表 3"/>
        <xdr:cNvGraphicFramePr/>
      </xdr:nvGraphicFramePr>
      <xdr:xfrm>
        <a:off x="179070" y="854075"/>
        <a:ext cx="4648200" cy="280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zoomScale="150" zoomScaleNormal="150" workbookViewId="0">
      <selection activeCell="L23" sqref="L23"/>
    </sheetView>
  </sheetViews>
  <sheetFormatPr defaultColWidth="9" defaultRowHeight="13.5"/>
  <cols>
    <col min="1" max="1" width="9" style="9"/>
    <col min="2" max="2" width="13.75" style="9"/>
    <col min="3" max="16384" width="9" style="9"/>
  </cols>
  <sheetData>
    <row r="1" spans="1:12">
      <c r="A1" s="8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L1" s="9">
        <v>2000</v>
      </c>
    </row>
    <row r="2" spans="1:14">
      <c r="A2" s="8" t="s">
        <v>9</v>
      </c>
      <c r="B2" s="8">
        <f>N2</f>
        <v>93.05</v>
      </c>
      <c r="C2" s="10">
        <v>0</v>
      </c>
      <c r="D2" s="10">
        <v>1</v>
      </c>
      <c r="E2" s="10">
        <v>1</v>
      </c>
      <c r="F2" s="10">
        <v>0</v>
      </c>
      <c r="G2" s="10">
        <v>0</v>
      </c>
      <c r="H2" s="10">
        <v>1</v>
      </c>
      <c r="I2" s="10">
        <v>0</v>
      </c>
      <c r="J2" s="10">
        <v>17901</v>
      </c>
      <c r="K2" s="11"/>
      <c r="L2" s="9">
        <v>2055</v>
      </c>
      <c r="M2" s="9">
        <f>L2-L1</f>
        <v>55</v>
      </c>
      <c r="N2" s="9">
        <f>M2+38.05</f>
        <v>93.05</v>
      </c>
    </row>
    <row r="3" spans="1:14">
      <c r="A3" s="8" t="s">
        <v>10</v>
      </c>
      <c r="B3" s="8">
        <f t="shared" ref="B3:B11" si="0">N3</f>
        <v>-21.95</v>
      </c>
      <c r="C3" s="10">
        <v>0</v>
      </c>
      <c r="D3" s="10">
        <v>1</v>
      </c>
      <c r="E3" s="10">
        <v>1</v>
      </c>
      <c r="F3" s="10">
        <v>0</v>
      </c>
      <c r="G3" s="10">
        <v>1</v>
      </c>
      <c r="H3" s="10">
        <v>0</v>
      </c>
      <c r="I3" s="10">
        <v>0</v>
      </c>
      <c r="J3" s="10">
        <v>13401</v>
      </c>
      <c r="K3" s="11"/>
      <c r="L3" s="9">
        <v>1995</v>
      </c>
      <c r="M3" s="9">
        <f t="shared" ref="M3:M11" si="1">L3-L2</f>
        <v>-60</v>
      </c>
      <c r="N3" s="9">
        <f t="shared" ref="N3:N11" si="2">M3+38.05</f>
        <v>-21.95</v>
      </c>
    </row>
    <row r="4" spans="1:14">
      <c r="A4" s="8" t="s">
        <v>11</v>
      </c>
      <c r="B4" s="8">
        <f t="shared" si="0"/>
        <v>873.05</v>
      </c>
      <c r="C4" s="10">
        <v>0</v>
      </c>
      <c r="D4" s="10">
        <v>0</v>
      </c>
      <c r="E4" s="10">
        <v>0</v>
      </c>
      <c r="F4" s="10">
        <v>0</v>
      </c>
      <c r="G4" s="10">
        <v>1</v>
      </c>
      <c r="H4" s="10">
        <v>0</v>
      </c>
      <c r="I4" s="10">
        <v>1</v>
      </c>
      <c r="J4" s="10">
        <v>13901</v>
      </c>
      <c r="K4" s="11"/>
      <c r="L4" s="9">
        <v>2830</v>
      </c>
      <c r="M4" s="9">
        <f t="shared" si="1"/>
        <v>835</v>
      </c>
      <c r="N4" s="9">
        <f t="shared" si="2"/>
        <v>873.05</v>
      </c>
    </row>
    <row r="5" spans="1:14">
      <c r="A5" s="8" t="s">
        <v>12</v>
      </c>
      <c r="B5" s="8">
        <f t="shared" si="0"/>
        <v>543.05</v>
      </c>
      <c r="C5" s="10">
        <v>0</v>
      </c>
      <c r="D5" s="10">
        <v>0</v>
      </c>
      <c r="E5" s="10">
        <v>0</v>
      </c>
      <c r="F5" s="10">
        <v>1</v>
      </c>
      <c r="G5" s="10">
        <v>1</v>
      </c>
      <c r="H5" s="10">
        <v>0</v>
      </c>
      <c r="I5" s="10">
        <v>0</v>
      </c>
      <c r="J5" s="10">
        <v>11401</v>
      </c>
      <c r="K5" s="11"/>
      <c r="L5" s="9">
        <v>3335</v>
      </c>
      <c r="M5" s="9">
        <f t="shared" si="1"/>
        <v>505</v>
      </c>
      <c r="N5" s="9">
        <f t="shared" si="2"/>
        <v>543.05</v>
      </c>
    </row>
    <row r="6" spans="1:14">
      <c r="A6" s="8" t="s">
        <v>13</v>
      </c>
      <c r="B6" s="8">
        <f t="shared" si="0"/>
        <v>-291.95</v>
      </c>
      <c r="C6" s="10">
        <v>0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1</v>
      </c>
      <c r="J6" s="10">
        <v>12901</v>
      </c>
      <c r="K6" s="11"/>
      <c r="L6" s="9">
        <v>3005</v>
      </c>
      <c r="M6" s="9">
        <f t="shared" si="1"/>
        <v>-330</v>
      </c>
      <c r="N6" s="9">
        <f t="shared" si="2"/>
        <v>-291.95</v>
      </c>
    </row>
    <row r="7" spans="1:14">
      <c r="A7" s="8" t="s">
        <v>14</v>
      </c>
      <c r="B7" s="8">
        <f t="shared" si="0"/>
        <v>-456.95</v>
      </c>
      <c r="C7" s="10">
        <v>0</v>
      </c>
      <c r="D7" s="10">
        <v>1</v>
      </c>
      <c r="E7" s="10">
        <v>1</v>
      </c>
      <c r="F7" s="10">
        <v>0</v>
      </c>
      <c r="G7" s="10">
        <v>1</v>
      </c>
      <c r="H7" s="10">
        <v>1</v>
      </c>
      <c r="I7" s="10">
        <v>1</v>
      </c>
      <c r="J7" s="10">
        <v>12401</v>
      </c>
      <c r="K7" s="11"/>
      <c r="L7" s="9">
        <v>2510</v>
      </c>
      <c r="M7" s="9">
        <f t="shared" si="1"/>
        <v>-495</v>
      </c>
      <c r="N7" s="9">
        <f t="shared" si="2"/>
        <v>-456.95</v>
      </c>
    </row>
    <row r="8" spans="1:14">
      <c r="A8" s="8" t="s">
        <v>15</v>
      </c>
      <c r="B8" s="8">
        <f t="shared" si="0"/>
        <v>238.05</v>
      </c>
      <c r="C8" s="10">
        <v>0</v>
      </c>
      <c r="D8" s="10">
        <v>1</v>
      </c>
      <c r="E8" s="10">
        <v>0</v>
      </c>
      <c r="F8" s="10">
        <v>1</v>
      </c>
      <c r="G8" s="10">
        <v>1</v>
      </c>
      <c r="H8" s="10">
        <v>1</v>
      </c>
      <c r="I8" s="10">
        <v>1</v>
      </c>
      <c r="J8" s="10">
        <v>11401</v>
      </c>
      <c r="K8" s="11"/>
      <c r="L8" s="9">
        <v>2710</v>
      </c>
      <c r="M8" s="9">
        <f t="shared" si="1"/>
        <v>200</v>
      </c>
      <c r="N8" s="9">
        <f t="shared" si="2"/>
        <v>238.05</v>
      </c>
    </row>
    <row r="9" spans="1:14">
      <c r="A9" s="8" t="s">
        <v>16</v>
      </c>
      <c r="B9" s="8">
        <f t="shared" si="0"/>
        <v>-356.95</v>
      </c>
      <c r="C9" s="10">
        <v>0</v>
      </c>
      <c r="D9" s="10">
        <v>1</v>
      </c>
      <c r="E9" s="10">
        <v>1</v>
      </c>
      <c r="F9" s="10">
        <v>0</v>
      </c>
      <c r="G9" s="10">
        <v>1</v>
      </c>
      <c r="H9" s="10">
        <v>0</v>
      </c>
      <c r="I9" s="10">
        <v>1</v>
      </c>
      <c r="J9" s="10">
        <v>11401</v>
      </c>
      <c r="K9" s="11"/>
      <c r="L9" s="9">
        <v>2315</v>
      </c>
      <c r="M9" s="9">
        <f t="shared" si="1"/>
        <v>-395</v>
      </c>
      <c r="N9" s="9">
        <f t="shared" si="2"/>
        <v>-356.95</v>
      </c>
    </row>
    <row r="10" spans="1:14">
      <c r="A10" s="8" t="s">
        <v>17</v>
      </c>
      <c r="B10" s="8">
        <f t="shared" si="0"/>
        <v>233.05</v>
      </c>
      <c r="C10" s="10">
        <v>0</v>
      </c>
      <c r="D10" s="10">
        <v>0</v>
      </c>
      <c r="E10" s="10">
        <v>1</v>
      </c>
      <c r="F10" s="10">
        <v>1</v>
      </c>
      <c r="G10" s="10">
        <v>1</v>
      </c>
      <c r="H10" s="10">
        <v>0</v>
      </c>
      <c r="I10" s="10">
        <v>0</v>
      </c>
      <c r="J10" s="10">
        <v>15401</v>
      </c>
      <c r="K10" s="11"/>
      <c r="L10" s="9">
        <v>2510</v>
      </c>
      <c r="M10" s="9">
        <f t="shared" si="1"/>
        <v>195</v>
      </c>
      <c r="N10" s="9">
        <f t="shared" si="2"/>
        <v>233.05</v>
      </c>
    </row>
    <row r="11" spans="1:14">
      <c r="A11" s="8" t="s">
        <v>18</v>
      </c>
      <c r="B11" s="8">
        <f t="shared" si="0"/>
        <v>133.05</v>
      </c>
      <c r="C11" s="10">
        <v>0</v>
      </c>
      <c r="D11" s="10">
        <v>1</v>
      </c>
      <c r="E11" s="10">
        <v>0</v>
      </c>
      <c r="F11" s="10">
        <v>0</v>
      </c>
      <c r="G11" s="10">
        <v>0</v>
      </c>
      <c r="H11" s="10">
        <v>0</v>
      </c>
      <c r="I11" s="10">
        <v>1</v>
      </c>
      <c r="J11" s="10">
        <v>15401</v>
      </c>
      <c r="K11" s="11"/>
      <c r="L11" s="9">
        <v>2605</v>
      </c>
      <c r="M11" s="9">
        <f t="shared" si="1"/>
        <v>95</v>
      </c>
      <c r="N11" s="9">
        <f t="shared" si="2"/>
        <v>133.05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="190" zoomScaleNormal="190" workbookViewId="0">
      <selection activeCell="D3" sqref="D3:D12"/>
    </sheetView>
  </sheetViews>
  <sheetFormatPr defaultColWidth="9" defaultRowHeight="13.5" outlineLevelCol="3"/>
  <cols>
    <col min="1" max="3" width="9" style="1"/>
    <col min="4" max="4" width="11.7333333333333" style="1" customWidth="1"/>
    <col min="5" max="16384" width="9" style="1"/>
  </cols>
  <sheetData>
    <row r="1" spans="2:4">
      <c r="B1" s="1" t="s">
        <v>19</v>
      </c>
      <c r="C1" s="1" t="b">
        <v>1</v>
      </c>
      <c r="D1" s="1" t="s">
        <v>20</v>
      </c>
    </row>
    <row r="2" spans="3:4">
      <c r="C2" s="1">
        <v>2000</v>
      </c>
      <c r="D2" s="1">
        <v>2000</v>
      </c>
    </row>
    <row r="3" spans="1:4">
      <c r="A3" s="1" t="s">
        <v>9</v>
      </c>
      <c r="B3" s="8">
        <v>93.05</v>
      </c>
      <c r="C3" s="1">
        <f>C2+B3-30.03</f>
        <v>2063.02</v>
      </c>
      <c r="D3" s="1">
        <v>1993</v>
      </c>
    </row>
    <row r="4" spans="1:4">
      <c r="A4" s="1" t="s">
        <v>10</v>
      </c>
      <c r="B4" s="8">
        <v>-21.95</v>
      </c>
      <c r="C4" s="1">
        <f t="shared" ref="C4:C12" si="0">C3+B4-30.03</f>
        <v>2011.04</v>
      </c>
      <c r="D4" s="1">
        <v>1733</v>
      </c>
    </row>
    <row r="5" spans="1:4">
      <c r="A5" s="1" t="s">
        <v>11</v>
      </c>
      <c r="B5" s="8">
        <v>873.05</v>
      </c>
      <c r="C5" s="1">
        <f t="shared" si="0"/>
        <v>2854.06</v>
      </c>
      <c r="D5" s="1">
        <v>2486</v>
      </c>
    </row>
    <row r="6" spans="1:4">
      <c r="A6" s="1" t="s">
        <v>12</v>
      </c>
      <c r="B6" s="8">
        <v>543.05</v>
      </c>
      <c r="C6" s="1">
        <f t="shared" si="0"/>
        <v>3367.08</v>
      </c>
      <c r="D6" s="1">
        <v>2954</v>
      </c>
    </row>
    <row r="7" spans="1:4">
      <c r="A7" s="1" t="s">
        <v>13</v>
      </c>
      <c r="B7" s="8">
        <v>-291.95</v>
      </c>
      <c r="C7" s="1">
        <f t="shared" si="0"/>
        <v>3045.1</v>
      </c>
      <c r="D7" s="1">
        <v>2914</v>
      </c>
    </row>
    <row r="8" spans="1:4">
      <c r="A8" s="1" t="s">
        <v>14</v>
      </c>
      <c r="B8" s="8">
        <v>-456.95</v>
      </c>
      <c r="C8" s="1">
        <f t="shared" si="0"/>
        <v>2558.12</v>
      </c>
      <c r="D8" s="1">
        <v>2597</v>
      </c>
    </row>
    <row r="9" spans="1:4">
      <c r="A9" s="1" t="s">
        <v>15</v>
      </c>
      <c r="B9" s="8">
        <v>238.05</v>
      </c>
      <c r="C9" s="1">
        <f t="shared" si="0"/>
        <v>2766.14</v>
      </c>
      <c r="D9" s="1">
        <v>2474</v>
      </c>
    </row>
    <row r="10" spans="1:4">
      <c r="A10" s="1" t="s">
        <v>16</v>
      </c>
      <c r="B10" s="8">
        <v>-356.95</v>
      </c>
      <c r="C10" s="1">
        <f t="shared" si="0"/>
        <v>2379.16</v>
      </c>
      <c r="D10" s="1">
        <v>2100</v>
      </c>
    </row>
    <row r="11" spans="1:4">
      <c r="A11" s="1" t="s">
        <v>17</v>
      </c>
      <c r="B11" s="8">
        <v>233.05</v>
      </c>
      <c r="C11" s="1">
        <f t="shared" si="0"/>
        <v>2582.18</v>
      </c>
      <c r="D11" s="1">
        <v>2398</v>
      </c>
    </row>
    <row r="12" spans="1:4">
      <c r="A12" s="1" t="s">
        <v>18</v>
      </c>
      <c r="B12" s="8">
        <v>133.05</v>
      </c>
      <c r="C12" s="1">
        <f t="shared" si="0"/>
        <v>2685.2</v>
      </c>
      <c r="D12" s="1">
        <v>2645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"/>
  <sheetViews>
    <sheetView zoomScale="130" zoomScaleNormal="130" workbookViewId="0">
      <selection activeCell="F10" sqref="F10"/>
    </sheetView>
  </sheetViews>
  <sheetFormatPr defaultColWidth="9" defaultRowHeight="13.5" outlineLevelCol="7"/>
  <cols>
    <col min="1" max="1" width="12.875" style="6" customWidth="1"/>
    <col min="2" max="5" width="9" style="6"/>
    <col min="6" max="6" width="9.375" style="6"/>
    <col min="7" max="16384" width="9" style="6"/>
  </cols>
  <sheetData>
    <row r="2" spans="3:4">
      <c r="C2" s="6" t="s">
        <v>21</v>
      </c>
      <c r="D2" s="6" t="s">
        <v>22</v>
      </c>
    </row>
    <row r="3" spans="2:4">
      <c r="B3" s="6" t="s">
        <v>23</v>
      </c>
      <c r="C3" s="6">
        <v>3.148</v>
      </c>
      <c r="D3" s="6">
        <f>125*(C3)/10</f>
        <v>39.35</v>
      </c>
    </row>
    <row r="4" spans="2:4">
      <c r="B4" s="6" t="s">
        <v>24</v>
      </c>
      <c r="D4" s="6">
        <f>SUM(D3:D3)</f>
        <v>39.35</v>
      </c>
    </row>
    <row r="5" spans="1:6">
      <c r="A5" s="7"/>
      <c r="E5" s="6" t="s">
        <v>25</v>
      </c>
      <c r="F5" s="6" t="s">
        <v>26</v>
      </c>
    </row>
    <row r="6" spans="1:8">
      <c r="A6" s="7" t="s">
        <v>27</v>
      </c>
      <c r="B6" s="6" t="s">
        <v>28</v>
      </c>
      <c r="C6" s="6">
        <v>2.205</v>
      </c>
      <c r="D6" s="6">
        <f>125*(C6)/10</f>
        <v>27.5625</v>
      </c>
      <c r="E6" s="6">
        <f>D6*B12</f>
        <v>18.239484375</v>
      </c>
      <c r="F6" s="6">
        <f>D6-E6</f>
        <v>9.323015625</v>
      </c>
      <c r="H6" s="6">
        <f>D4-F6</f>
        <v>30.026984375</v>
      </c>
    </row>
    <row r="7" spans="1:6">
      <c r="A7" s="7"/>
      <c r="B7" s="6" t="s">
        <v>29</v>
      </c>
      <c r="C7" s="6">
        <v>9</v>
      </c>
      <c r="D7" s="6">
        <f>125*(C7)/10</f>
        <v>112.5</v>
      </c>
      <c r="E7" s="6">
        <f>D7*B12</f>
        <v>74.446875</v>
      </c>
      <c r="F7" s="6">
        <f>D7-E7</f>
        <v>38.053125</v>
      </c>
    </row>
    <row r="8" spans="1:6">
      <c r="A8" s="7"/>
      <c r="B8" s="6" t="s">
        <v>30</v>
      </c>
      <c r="C8" s="6">
        <f>SUM(C6:C7)</f>
        <v>11.205</v>
      </c>
      <c r="D8" s="6">
        <f>125*(C8)/10</f>
        <v>140.0625</v>
      </c>
      <c r="E8" s="6">
        <f>D8*B12</f>
        <v>92.686359375</v>
      </c>
      <c r="F8" s="6">
        <f>D8-E8</f>
        <v>47.376140625</v>
      </c>
    </row>
    <row r="10" spans="1:2">
      <c r="A10" s="6" t="s">
        <v>31</v>
      </c>
      <c r="B10" s="6">
        <f>16/20</f>
        <v>0.8</v>
      </c>
    </row>
    <row r="11" spans="1:2">
      <c r="A11" s="6" t="s">
        <v>32</v>
      </c>
      <c r="B11" s="6">
        <v>0.5294</v>
      </c>
    </row>
    <row r="12" spans="1:2">
      <c r="A12" s="6" t="s">
        <v>33</v>
      </c>
      <c r="B12" s="6">
        <f>B11/B10</f>
        <v>0.66175</v>
      </c>
    </row>
  </sheetData>
  <mergeCells count="1">
    <mergeCell ref="A6:A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90" zoomScaleNormal="190" workbookViewId="0">
      <selection activeCell="B2" sqref="B2:E2"/>
    </sheetView>
  </sheetViews>
  <sheetFormatPr defaultColWidth="9" defaultRowHeight="13.5" outlineLevelRow="2" outlineLevelCol="4"/>
  <cols>
    <col min="1" max="1" width="10.375" style="2"/>
    <col min="2" max="2" width="9" style="2"/>
    <col min="3" max="3" width="9.375" style="2"/>
    <col min="4" max="4" width="11.9083333333333" style="2" customWidth="1"/>
    <col min="5" max="5" width="10.9833333333333" style="2" customWidth="1"/>
    <col min="6" max="16384" width="9" style="2"/>
  </cols>
  <sheetData>
    <row r="1" spans="1:5">
      <c r="A1" s="3" t="s">
        <v>0</v>
      </c>
      <c r="B1" s="3" t="s">
        <v>2</v>
      </c>
      <c r="C1" s="3" t="s">
        <v>3</v>
      </c>
      <c r="D1" s="3" t="s">
        <v>4</v>
      </c>
      <c r="E1" s="4" t="s">
        <v>8</v>
      </c>
    </row>
    <row r="2" spans="1:5">
      <c r="A2" s="5">
        <v>0</v>
      </c>
      <c r="B2" s="5">
        <v>591.2405</v>
      </c>
      <c r="C2" s="5">
        <v>394.9816</v>
      </c>
      <c r="D2" s="5">
        <v>145.4933</v>
      </c>
      <c r="E2" s="4">
        <v>-563.8768</v>
      </c>
    </row>
    <row r="3" spans="1:1">
      <c r="A3" s="2">
        <v>30.03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175" zoomScaleNormal="175" workbookViewId="0">
      <selection activeCell="B3" sqref="B3"/>
    </sheetView>
  </sheetViews>
  <sheetFormatPr defaultColWidth="9" defaultRowHeight="13.5" outlineLevelRow="4" outlineLevelCol="1"/>
  <sheetData>
    <row r="1" customFormat="1" spans="1:1">
      <c r="A1" t="s">
        <v>34</v>
      </c>
    </row>
    <row r="2" customFormat="1" spans="1:1">
      <c r="A2" t="s">
        <v>35</v>
      </c>
    </row>
    <row r="3" customFormat="1" spans="1:1">
      <c r="A3" t="s">
        <v>36</v>
      </c>
    </row>
    <row r="4" customFormat="1"/>
    <row r="5" customFormat="1" spans="1:2">
      <c r="A5" s="1" t="s">
        <v>37</v>
      </c>
      <c r="B5" s="1"/>
    </row>
  </sheetData>
  <mergeCells count="1">
    <mergeCell ref="A5:B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A1" sqref="$A1:$XFD1048576"/>
    </sheetView>
  </sheetViews>
  <sheetFormatPr defaultColWidth="9" defaultRowHeight="13.5"/>
  <cols>
    <col min="2" max="2" width="13.75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折线对比1</vt:lpstr>
      <vt:lpstr>额外阳光消耗</vt:lpstr>
      <vt:lpstr>模型参数</vt:lpstr>
      <vt:lpstr>破阵率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2025-04-29T15:49:06Z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