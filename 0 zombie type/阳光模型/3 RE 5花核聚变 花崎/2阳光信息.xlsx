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25" windowHeight="15705" activeTab="4"/>
  </bookViews>
  <sheets>
    <sheet name="截图" sheetId="10" r:id="rId1"/>
    <sheet name="汇总" sheetId="4" r:id="rId2"/>
    <sheet name="折线对比1" sheetId="7" r:id="rId3"/>
    <sheet name="折线对比2" sheetId="9" r:id="rId4"/>
    <sheet name="模型参数" sheetId="5" r:id="rId5"/>
    <sheet name="破阵率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<sst xmlns="http://schemas.openxmlformats.org/spreadsheetml/2006/main" count="139" uniqueCount="36">
  <si>
    <t>Y</t>
  </si>
  <si>
    <t>红</t>
  </si>
  <si>
    <t>气</t>
  </si>
  <si>
    <t>车</t>
  </si>
  <si>
    <t>白</t>
  </si>
  <si>
    <t>橄</t>
  </si>
  <si>
    <t>丑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</si>
  <si>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</si>
  <si>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</si>
  <si>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</si>
  <si>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</si>
  <si>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</si>
  <si>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</si>
  <si>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</si>
  <si>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</si>
  <si>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</si>
  <si>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</si>
  <si>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2020f</t>
  </si>
  <si>
    <t>2022f</t>
  </si>
  <si>
    <t>2024f</t>
  </si>
  <si>
    <t>2026f</t>
  </si>
  <si>
    <t>2028f</t>
  </si>
  <si>
    <t>2030f</t>
  </si>
  <si>
    <t>2032f</t>
  </si>
  <si>
    <t>2034f</t>
  </si>
  <si>
    <t>2036f</t>
  </si>
  <si>
    <t>2038f</t>
  </si>
  <si>
    <t>2040f</t>
  </si>
  <si>
    <t>dlt</t>
  </si>
  <si>
    <t>pred</t>
  </si>
  <si>
    <t>pred dlt</t>
  </si>
  <si>
    <t>期望</t>
  </si>
  <si>
    <t>百f</t>
  </si>
  <si>
    <t>千f</t>
  </si>
  <si>
    <t>万f</t>
  </si>
  <si>
    <t>六花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</si>
</sst>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0" applyNumberFormat="0" applyFill="0" applyAlignment="0" applyProtection="0">
      <alignment vertical="center"/>
    </xf>
    <xf numFmtId="0" fontId="9" fillId="0" borderId="20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22" applyNumberFormat="0" applyAlignment="0" applyProtection="0">
      <alignment vertical="center"/>
    </xf>
    <xf numFmtId="0" fontId="12" fillId="5" borderId="23" applyNumberFormat="0" applyAlignment="0" applyProtection="0">
      <alignment vertical="center"/>
    </xf>
    <xf numFmtId="0" fontId="13" fillId="5" borderId="22" applyNumberFormat="0" applyAlignment="0" applyProtection="0">
      <alignment vertical="center"/>
    </xf>
    <xf numFmtId="0" fontId="14" fillId="6" borderId="24" applyNumberFormat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Fill="1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2" xfId="0" applyFill="1" applyBorder="1" applyAlignment="1">
      <alignment vertical="center"/>
    </xf>
    <xf numFmtId="0" fontId="0" fillId="0" borderId="6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3" xfId="0" applyFill="1" applyBorder="1" applyAlignment="1">
      <alignment vertical="center"/>
    </xf>
    <xf numFmtId="0" fontId="0" fillId="0" borderId="7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  <xf numFmtId="0" fontId="0" fillId="0" borderId="9" xfId="0" applyFill="1" applyBorder="1" applyAlignment="1">
      <alignment vertical="center"/>
    </xf>
    <xf numFmtId="0" fontId="0" fillId="0" borderId="10" xfId="0" applyFill="1" applyBorder="1">
      <alignment vertical="center"/>
    </xf>
    <xf numFmtId="0" fontId="0" fillId="0" borderId="0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12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0" fillId="0" borderId="18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折线对比1!$D$1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折线对比1!$D$2:$D$18</c:f>
              <c:numCache>
                <c:formatCode>General</c:formatCode>
                <c:ptCount val="17"/>
                <c:pt idx="0">
                  <c:v>9900</c:v>
                </c:pt>
                <c:pt idx="1">
                  <c:v>8502</c:v>
                </c:pt>
                <c:pt idx="2">
                  <c:v>7893</c:v>
                </c:pt>
                <c:pt idx="3">
                  <c:v>6927</c:v>
                </c:pt>
                <c:pt idx="4">
                  <c:v>6859</c:v>
                </c:pt>
                <c:pt idx="5">
                  <c:v>6812</c:v>
                </c:pt>
                <c:pt idx="6">
                  <c:v>6526</c:v>
                </c:pt>
                <c:pt idx="7">
                  <c:v>6240</c:v>
                </c:pt>
                <c:pt idx="8">
                  <c:v>5623</c:v>
                </c:pt>
                <c:pt idx="9">
                  <c:v>5547</c:v>
                </c:pt>
                <c:pt idx="10">
                  <c:v>6188</c:v>
                </c:pt>
                <c:pt idx="11">
                  <c:v>4891</c:v>
                </c:pt>
                <c:pt idx="12">
                  <c:v>4282</c:v>
                </c:pt>
                <c:pt idx="13">
                  <c:v>2892</c:v>
                </c:pt>
                <c:pt idx="14">
                  <c:v>2064</c:v>
                </c:pt>
                <c:pt idx="15">
                  <c:v>1245</c:v>
                </c:pt>
                <c:pt idx="16">
                  <c:v>1075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折线对比1!$C$1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折线对比1!$C$2:$C$18</c:f>
              <c:numCache>
                <c:formatCode>General</c:formatCode>
                <c:ptCount val="17"/>
                <c:pt idx="0">
                  <c:v>9900</c:v>
                </c:pt>
                <c:pt idx="1">
                  <c:v>9125</c:v>
                </c:pt>
                <c:pt idx="2">
                  <c:v>8375</c:v>
                </c:pt>
                <c:pt idx="3">
                  <c:v>7350</c:v>
                </c:pt>
                <c:pt idx="4">
                  <c:v>7000</c:v>
                </c:pt>
                <c:pt idx="5">
                  <c:v>6725</c:v>
                </c:pt>
                <c:pt idx="6">
                  <c:v>6375</c:v>
                </c:pt>
                <c:pt idx="7">
                  <c:v>5750</c:v>
                </c:pt>
                <c:pt idx="8">
                  <c:v>5400</c:v>
                </c:pt>
                <c:pt idx="9">
                  <c:v>5550</c:v>
                </c:pt>
                <c:pt idx="10">
                  <c:v>6500</c:v>
                </c:pt>
                <c:pt idx="11">
                  <c:v>5175</c:v>
                </c:pt>
                <c:pt idx="12">
                  <c:v>4275</c:v>
                </c:pt>
                <c:pt idx="13">
                  <c:v>2850</c:v>
                </c:pt>
                <c:pt idx="14">
                  <c:v>1625</c:v>
                </c:pt>
                <c:pt idx="15">
                  <c:v>1125</c:v>
                </c:pt>
                <c:pt idx="16">
                  <c:v>1075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23a0ad-f213-46ed-97f4-f450ff0b423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折线对比2!$C$25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折线对比2!$C$26:$C$32</c:f>
              <c:numCache>
                <c:formatCode>General</c:formatCode>
                <c:ptCount val="7"/>
                <c:pt idx="0">
                  <c:v>0</c:v>
                </c:pt>
                <c:pt idx="1">
                  <c:v>1750</c:v>
                </c:pt>
                <c:pt idx="2">
                  <c:v>4825</c:v>
                </c:pt>
                <c:pt idx="3">
                  <c:v>6100</c:v>
                </c:pt>
                <c:pt idx="4">
                  <c:v>5975</c:v>
                </c:pt>
                <c:pt idx="5">
                  <c:v>6800</c:v>
                </c:pt>
                <c:pt idx="6">
                  <c:v>8400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折线对比2!$D$25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折线对比2!$D$26:$D$32</c:f>
              <c:numCache>
                <c:formatCode>General</c:formatCode>
                <c:ptCount val="7"/>
                <c:pt idx="0">
                  <c:v>0</c:v>
                </c:pt>
                <c:pt idx="1">
                  <c:v>2046</c:v>
                </c:pt>
                <c:pt idx="2">
                  <c:v>4662</c:v>
                </c:pt>
                <c:pt idx="3">
                  <c:v>5486</c:v>
                </c:pt>
                <c:pt idx="4">
                  <c:v>5530</c:v>
                </c:pt>
                <c:pt idx="5">
                  <c:v>7034</c:v>
                </c:pt>
                <c:pt idx="6">
                  <c:v>8399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4890d3-297b-4180-9f71-ce299622f3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410210</xdr:colOff>
      <xdr:row>6</xdr:row>
      <xdr:rowOff>96520</xdr:rowOff>
    </xdr:from>
    <xdr:to>
      <xdr:col>11</xdr:col>
      <xdr:colOff>548640</xdr:colOff>
      <xdr:row>25</xdr:row>
      <xdr:rowOff>140335</xdr:rowOff>
    </xdr:to>
    <xdr:graphicFrame>
      <xdr:nvGraphicFramePr>
        <xdr:cNvPr id="4" name="图表 3"/>
        <xdr:cNvGraphicFramePr/>
      </xdr:nvGraphicFramePr>
      <xdr:xfrm>
        <a:off x="3361690" y="1134745"/>
        <a:ext cx="4939030" cy="3310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105410</xdr:colOff>
      <xdr:row>7</xdr:row>
      <xdr:rowOff>107950</xdr:rowOff>
    </xdr:from>
    <xdr:to>
      <xdr:col>12</xdr:col>
      <xdr:colOff>365760</xdr:colOff>
      <xdr:row>27</xdr:row>
      <xdr:rowOff>154940</xdr:rowOff>
    </xdr:to>
    <xdr:graphicFrame>
      <xdr:nvGraphicFramePr>
        <xdr:cNvPr id="2" name="图表 1"/>
        <xdr:cNvGraphicFramePr/>
      </xdr:nvGraphicFramePr>
      <xdr:xfrm>
        <a:off x="3056890" y="1308100"/>
        <a:ext cx="5746750" cy="3475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zoomScale="130" zoomScaleNormal="130" workbookViewId="0">
      <selection activeCell="B27" sqref="B27"/>
    </sheetView>
  </sheetViews>
  <sheetFormatPr defaultColWidth="9" defaultRowHeight="13.5"/>
  <cols>
    <col min="1" max="1" width="9" style="10"/>
    <col min="2" max="2" width="13.75" style="10"/>
    <col min="3" max="16384" width="9" style="10"/>
  </cols>
  <sheetData>
    <row r="1" s="15" customFormat="1" ht="14.25" spans="1:10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0"/>
    </row>
    <row r="2" s="15" customFormat="1" spans="1:11">
      <c r="A2" s="11" t="s">
        <v>8</v>
      </c>
      <c r="B2" s="12">
        <v>-775</v>
      </c>
      <c r="C2" s="13">
        <v>1</v>
      </c>
      <c r="D2" s="13">
        <v>0</v>
      </c>
      <c r="E2" s="13">
        <v>1</v>
      </c>
      <c r="F2" s="13">
        <v>1</v>
      </c>
      <c r="G2" s="13">
        <v>1</v>
      </c>
      <c r="H2" s="13">
        <v>1</v>
      </c>
      <c r="I2" s="29">
        <v>14401</v>
      </c>
      <c r="J2" s="24"/>
      <c r="K2" s="10"/>
    </row>
    <row r="3" s="15" customFormat="1" spans="1:11">
      <c r="A3" s="14" t="s">
        <v>9</v>
      </c>
      <c r="B3" s="15">
        <v>-750</v>
      </c>
      <c r="C3" s="16">
        <v>1</v>
      </c>
      <c r="D3" s="16">
        <v>1</v>
      </c>
      <c r="E3" s="16">
        <v>0</v>
      </c>
      <c r="F3" s="16">
        <v>0</v>
      </c>
      <c r="G3" s="16">
        <v>1</v>
      </c>
      <c r="H3" s="16">
        <v>1</v>
      </c>
      <c r="I3" s="30">
        <v>18401</v>
      </c>
      <c r="J3" s="24"/>
      <c r="K3" s="10"/>
    </row>
    <row r="4" s="15" customFormat="1" spans="1:11">
      <c r="A4" s="14" t="s">
        <v>10</v>
      </c>
      <c r="B4" s="15">
        <v>-1025</v>
      </c>
      <c r="C4" s="16">
        <v>1</v>
      </c>
      <c r="D4" s="16">
        <v>1</v>
      </c>
      <c r="E4" s="16">
        <v>1</v>
      </c>
      <c r="F4" s="16">
        <v>1</v>
      </c>
      <c r="G4" s="16">
        <v>0</v>
      </c>
      <c r="H4" s="16">
        <v>0</v>
      </c>
      <c r="I4" s="30">
        <v>17401</v>
      </c>
      <c r="J4" s="24"/>
      <c r="K4" s="10"/>
    </row>
    <row r="5" s="15" customFormat="1" spans="1:11">
      <c r="A5" s="14" t="s">
        <v>11</v>
      </c>
      <c r="B5" s="15">
        <v>-350</v>
      </c>
      <c r="C5" s="16">
        <v>1</v>
      </c>
      <c r="D5" s="16">
        <v>1</v>
      </c>
      <c r="E5" s="16">
        <v>0</v>
      </c>
      <c r="F5" s="16">
        <v>0</v>
      </c>
      <c r="G5" s="16">
        <v>1</v>
      </c>
      <c r="H5" s="16">
        <v>0</v>
      </c>
      <c r="I5" s="30">
        <v>14901</v>
      </c>
      <c r="J5" s="24"/>
      <c r="K5" s="10"/>
    </row>
    <row r="6" s="15" customFormat="1" spans="1:11">
      <c r="A6" s="14" t="s">
        <v>12</v>
      </c>
      <c r="B6" s="15">
        <v>-275</v>
      </c>
      <c r="C6" s="16">
        <v>1</v>
      </c>
      <c r="D6" s="16">
        <v>0</v>
      </c>
      <c r="E6" s="16">
        <v>1</v>
      </c>
      <c r="F6" s="16">
        <v>0</v>
      </c>
      <c r="G6" s="16">
        <v>0</v>
      </c>
      <c r="H6" s="16">
        <v>1</v>
      </c>
      <c r="I6" s="30">
        <v>12901</v>
      </c>
      <c r="J6" s="24"/>
      <c r="K6" s="10"/>
    </row>
    <row r="7" s="15" customFormat="1" spans="1:11">
      <c r="A7" s="14" t="s">
        <v>13</v>
      </c>
      <c r="B7" s="15">
        <v>-350</v>
      </c>
      <c r="C7" s="16">
        <v>1</v>
      </c>
      <c r="D7" s="16">
        <v>0</v>
      </c>
      <c r="E7" s="16">
        <v>1</v>
      </c>
      <c r="F7" s="16">
        <v>1</v>
      </c>
      <c r="G7" s="16">
        <v>0</v>
      </c>
      <c r="H7" s="16">
        <v>0</v>
      </c>
      <c r="I7" s="30">
        <v>11401</v>
      </c>
      <c r="J7" s="24"/>
      <c r="K7" s="10"/>
    </row>
    <row r="8" s="15" customFormat="1" spans="1:11">
      <c r="A8" s="14" t="s">
        <v>14</v>
      </c>
      <c r="B8" s="15">
        <v>-625</v>
      </c>
      <c r="C8" s="16">
        <v>1</v>
      </c>
      <c r="D8" s="16">
        <v>0</v>
      </c>
      <c r="E8" s="16">
        <v>1</v>
      </c>
      <c r="F8" s="16">
        <v>1</v>
      </c>
      <c r="G8" s="16">
        <v>0</v>
      </c>
      <c r="H8" s="16">
        <v>0</v>
      </c>
      <c r="I8" s="30">
        <v>13401</v>
      </c>
      <c r="J8" s="24"/>
      <c r="K8" s="10"/>
    </row>
    <row r="9" s="15" customFormat="1" spans="1:11">
      <c r="A9" s="14" t="s">
        <v>15</v>
      </c>
      <c r="B9" s="15">
        <v>-350</v>
      </c>
      <c r="C9" s="16">
        <v>1</v>
      </c>
      <c r="D9" s="16">
        <v>0</v>
      </c>
      <c r="E9" s="16">
        <v>1</v>
      </c>
      <c r="F9" s="16">
        <v>0</v>
      </c>
      <c r="G9" s="16">
        <v>1</v>
      </c>
      <c r="H9" s="16">
        <v>1</v>
      </c>
      <c r="I9" s="30">
        <v>13901</v>
      </c>
      <c r="J9" s="24"/>
      <c r="K9" s="10"/>
    </row>
    <row r="10" s="15" customFormat="1" spans="1:11">
      <c r="A10" s="14" t="s">
        <v>16</v>
      </c>
      <c r="B10" s="15">
        <v>150</v>
      </c>
      <c r="C10" s="16">
        <v>1</v>
      </c>
      <c r="D10" s="16">
        <v>0</v>
      </c>
      <c r="E10" s="16">
        <v>1</v>
      </c>
      <c r="F10" s="16">
        <v>0</v>
      </c>
      <c r="G10" s="16">
        <v>1</v>
      </c>
      <c r="H10" s="16">
        <v>0</v>
      </c>
      <c r="I10" s="30">
        <v>15401</v>
      </c>
      <c r="J10" s="24"/>
      <c r="K10" s="10"/>
    </row>
    <row r="11" s="15" customFormat="1" spans="1:11">
      <c r="A11" s="14" t="s">
        <v>17</v>
      </c>
      <c r="B11" s="15">
        <v>950</v>
      </c>
      <c r="C11" s="16">
        <v>1</v>
      </c>
      <c r="D11" s="16">
        <v>0</v>
      </c>
      <c r="E11" s="16">
        <v>0</v>
      </c>
      <c r="F11" s="16">
        <v>0</v>
      </c>
      <c r="G11" s="16">
        <v>0</v>
      </c>
      <c r="H11" s="16">
        <v>1</v>
      </c>
      <c r="I11" s="30">
        <v>11401</v>
      </c>
      <c r="J11" s="24"/>
      <c r="K11" s="10"/>
    </row>
    <row r="12" s="15" customFormat="1" spans="1:11">
      <c r="A12" s="14" t="s">
        <v>18</v>
      </c>
      <c r="B12" s="15">
        <v>-1325</v>
      </c>
      <c r="C12" s="16">
        <v>1</v>
      </c>
      <c r="D12" s="16">
        <v>1</v>
      </c>
      <c r="E12" s="16">
        <v>1</v>
      </c>
      <c r="F12" s="16">
        <v>0</v>
      </c>
      <c r="G12" s="16">
        <v>1</v>
      </c>
      <c r="H12" s="16">
        <v>1</v>
      </c>
      <c r="I12" s="30">
        <v>18901</v>
      </c>
      <c r="J12" s="24"/>
      <c r="K12" s="10"/>
    </row>
    <row r="13" s="15" customFormat="1" spans="1:11">
      <c r="A13" s="14" t="s">
        <v>19</v>
      </c>
      <c r="B13" s="15">
        <v>-900</v>
      </c>
      <c r="C13" s="16">
        <v>1</v>
      </c>
      <c r="D13" s="16">
        <v>1</v>
      </c>
      <c r="E13" s="16">
        <v>0</v>
      </c>
      <c r="F13" s="16">
        <v>0</v>
      </c>
      <c r="G13" s="16">
        <v>1</v>
      </c>
      <c r="H13" s="16">
        <v>1</v>
      </c>
      <c r="I13" s="30">
        <v>13901</v>
      </c>
      <c r="J13" s="24"/>
      <c r="K13" s="10"/>
    </row>
    <row r="14" s="15" customFormat="1" spans="1:11">
      <c r="A14" s="14" t="s">
        <v>20</v>
      </c>
      <c r="B14" s="15">
        <v>-1425</v>
      </c>
      <c r="C14" s="16">
        <v>1</v>
      </c>
      <c r="D14" s="16">
        <v>1</v>
      </c>
      <c r="E14" s="16">
        <v>0</v>
      </c>
      <c r="F14" s="16">
        <v>1</v>
      </c>
      <c r="G14" s="16">
        <v>1</v>
      </c>
      <c r="H14" s="16">
        <v>1</v>
      </c>
      <c r="I14" s="30">
        <v>15401</v>
      </c>
      <c r="J14" s="24"/>
      <c r="K14" s="10"/>
    </row>
    <row r="15" s="15" customFormat="1" spans="1:11">
      <c r="A15" s="14" t="s">
        <v>21</v>
      </c>
      <c r="B15" s="15">
        <v>-1225</v>
      </c>
      <c r="C15" s="16">
        <v>1</v>
      </c>
      <c r="D15" s="16">
        <v>0</v>
      </c>
      <c r="E15" s="16">
        <v>1</v>
      </c>
      <c r="F15" s="16">
        <v>1</v>
      </c>
      <c r="G15" s="16">
        <v>0</v>
      </c>
      <c r="H15" s="16">
        <v>1</v>
      </c>
      <c r="I15" s="30">
        <v>15901</v>
      </c>
      <c r="J15" s="24"/>
      <c r="K15" s="10"/>
    </row>
    <row r="16" s="15" customFormat="1" spans="1:11">
      <c r="A16" s="14" t="s">
        <v>22</v>
      </c>
      <c r="B16" s="15">
        <v>-500</v>
      </c>
      <c r="C16" s="16">
        <v>1</v>
      </c>
      <c r="D16" s="16">
        <v>1</v>
      </c>
      <c r="E16" s="16">
        <v>0</v>
      </c>
      <c r="F16" s="16">
        <v>1</v>
      </c>
      <c r="G16" s="16">
        <v>0</v>
      </c>
      <c r="H16" s="16">
        <v>1</v>
      </c>
      <c r="I16" s="30">
        <v>16401</v>
      </c>
      <c r="J16" s="24"/>
      <c r="K16" s="10"/>
    </row>
    <row r="17" s="15" customFormat="1" ht="14.25" spans="1:11">
      <c r="A17" s="17" t="s">
        <v>23</v>
      </c>
      <c r="B17" s="18">
        <v>-50</v>
      </c>
      <c r="C17" s="19">
        <v>1</v>
      </c>
      <c r="D17" s="19">
        <v>0</v>
      </c>
      <c r="E17" s="19">
        <v>0</v>
      </c>
      <c r="F17" s="19">
        <v>1</v>
      </c>
      <c r="G17" s="19">
        <v>1</v>
      </c>
      <c r="H17" s="19">
        <v>0</v>
      </c>
      <c r="I17" s="31">
        <v>12901</v>
      </c>
      <c r="J17" s="24"/>
      <c r="K17" s="10"/>
    </row>
    <row r="18" s="15" customFormat="1" spans="1:11">
      <c r="A18" s="23" t="s">
        <v>11</v>
      </c>
      <c r="B18" s="10">
        <v>1750</v>
      </c>
      <c r="C18" s="25">
        <v>0</v>
      </c>
      <c r="D18" s="24">
        <v>0</v>
      </c>
      <c r="E18" s="24">
        <v>1</v>
      </c>
      <c r="F18" s="24">
        <v>0</v>
      </c>
      <c r="G18" s="24">
        <v>1</v>
      </c>
      <c r="H18" s="24">
        <v>0</v>
      </c>
      <c r="I18" s="33">
        <v>13901</v>
      </c>
      <c r="J18" s="10"/>
      <c r="K18" s="10"/>
    </row>
    <row r="19" s="15" customFormat="1" spans="1:11">
      <c r="A19" s="23" t="s">
        <v>14</v>
      </c>
      <c r="B19" s="10">
        <v>3075</v>
      </c>
      <c r="C19" s="25">
        <v>0</v>
      </c>
      <c r="D19" s="24">
        <v>0</v>
      </c>
      <c r="E19" s="24">
        <v>1</v>
      </c>
      <c r="F19" s="24">
        <v>0</v>
      </c>
      <c r="G19" s="24">
        <v>0</v>
      </c>
      <c r="H19" s="24">
        <v>0</v>
      </c>
      <c r="I19" s="33">
        <v>14901</v>
      </c>
      <c r="J19" s="10"/>
      <c r="K19" s="10"/>
    </row>
    <row r="20" s="15" customFormat="1" spans="1:11">
      <c r="A20" s="23" t="s">
        <v>17</v>
      </c>
      <c r="B20" s="10">
        <v>1275</v>
      </c>
      <c r="C20" s="25">
        <v>0</v>
      </c>
      <c r="D20" s="24">
        <v>1</v>
      </c>
      <c r="E20" s="24">
        <v>1</v>
      </c>
      <c r="F20" s="24">
        <v>0</v>
      </c>
      <c r="G20" s="24">
        <v>1</v>
      </c>
      <c r="H20" s="24">
        <v>1</v>
      </c>
      <c r="I20" s="33">
        <v>15901</v>
      </c>
      <c r="J20" s="10"/>
      <c r="K20" s="10"/>
    </row>
    <row r="21" s="15" customFormat="1" spans="1:11">
      <c r="A21" s="23" t="s">
        <v>20</v>
      </c>
      <c r="B21" s="10">
        <v>-125</v>
      </c>
      <c r="C21" s="25">
        <v>0</v>
      </c>
      <c r="D21" s="24">
        <v>1</v>
      </c>
      <c r="E21" s="24">
        <v>1</v>
      </c>
      <c r="F21" s="24">
        <v>1</v>
      </c>
      <c r="G21" s="24">
        <v>1</v>
      </c>
      <c r="H21" s="24">
        <v>1</v>
      </c>
      <c r="I21" s="33">
        <v>16401</v>
      </c>
      <c r="J21" s="10"/>
      <c r="K21" s="10"/>
    </row>
    <row r="22" s="15" customFormat="1" spans="1:11">
      <c r="A22" s="23" t="s">
        <v>21</v>
      </c>
      <c r="B22" s="10">
        <v>825</v>
      </c>
      <c r="C22" s="25">
        <v>0</v>
      </c>
      <c r="D22" s="24">
        <v>0</v>
      </c>
      <c r="E22" s="24">
        <v>1</v>
      </c>
      <c r="F22" s="24">
        <v>0</v>
      </c>
      <c r="G22" s="24">
        <v>1</v>
      </c>
      <c r="H22" s="24">
        <v>1</v>
      </c>
      <c r="I22" s="33">
        <v>14901</v>
      </c>
      <c r="J22" s="10"/>
      <c r="K22" s="10"/>
    </row>
    <row r="23" s="15" customFormat="1" spans="1:11">
      <c r="A23" s="23" t="s">
        <v>24</v>
      </c>
      <c r="B23" s="10">
        <v>1600</v>
      </c>
      <c r="C23" s="25">
        <v>0</v>
      </c>
      <c r="D23" s="24">
        <v>1</v>
      </c>
      <c r="E23" s="24">
        <v>1</v>
      </c>
      <c r="F23" s="24">
        <v>0</v>
      </c>
      <c r="G23" s="24">
        <v>1</v>
      </c>
      <c r="H23" s="24">
        <v>0</v>
      </c>
      <c r="I23" s="33">
        <v>15901</v>
      </c>
      <c r="J23" s="10"/>
      <c r="K23" s="10"/>
    </row>
    <row r="24" s="15" customFormat="1" spans="1:1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="15" customFormat="1" spans="1:1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="15" customFormat="1" spans="1:1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="15" customFormat="1" spans="1:1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s="15" customFormat="1" spans="1:1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="15" customFormat="1" spans="1:1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="15" customFormat="1" spans="1:1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="15" customFormat="1" spans="1:1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="15" customFormat="1" spans="1:1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 s="15" customFormat="1" spans="1:1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s="15" customFormat="1" spans="1:1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="15" customFormat="1" spans="1:1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="15" customFormat="1" spans="1:1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="15" customFormat="1" spans="1:1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zoomScale="110" zoomScaleNormal="110" workbookViewId="0">
      <selection activeCell="C21" sqref="C21"/>
    </sheetView>
  </sheetViews>
  <sheetFormatPr defaultColWidth="9" defaultRowHeight="13.5"/>
  <cols>
    <col min="1" max="1" width="9" style="10"/>
    <col min="2" max="2" width="13.75" style="10"/>
    <col min="3" max="16384" width="9" style="10"/>
  </cols>
  <sheetData>
    <row r="1" ht="14.25" spans="1:1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K1" s="10">
        <v>9900</v>
      </c>
    </row>
    <row r="2" spans="1:11">
      <c r="A2" s="11" t="s">
        <v>8</v>
      </c>
      <c r="B2" s="12">
        <f>K2-K1</f>
        <v>-775</v>
      </c>
      <c r="C2" s="13">
        <v>1</v>
      </c>
      <c r="D2" s="13">
        <v>0</v>
      </c>
      <c r="E2" s="13">
        <v>1</v>
      </c>
      <c r="F2" s="13">
        <v>1</v>
      </c>
      <c r="G2" s="13">
        <v>1</v>
      </c>
      <c r="H2" s="13">
        <v>1</v>
      </c>
      <c r="I2" s="29">
        <v>14401</v>
      </c>
      <c r="J2" s="24"/>
      <c r="K2" s="10">
        <v>9125</v>
      </c>
    </row>
    <row r="3" spans="1:11">
      <c r="A3" s="14" t="s">
        <v>9</v>
      </c>
      <c r="B3" s="15">
        <f t="shared" ref="B3:B26" si="0">K3-K2</f>
        <v>-750</v>
      </c>
      <c r="C3" s="16">
        <v>1</v>
      </c>
      <c r="D3" s="16">
        <v>1</v>
      </c>
      <c r="E3" s="16">
        <v>0</v>
      </c>
      <c r="F3" s="16">
        <v>0</v>
      </c>
      <c r="G3" s="16">
        <v>1</v>
      </c>
      <c r="H3" s="16">
        <v>1</v>
      </c>
      <c r="I3" s="30">
        <v>18401</v>
      </c>
      <c r="J3" s="24"/>
      <c r="K3" s="10">
        <v>8375</v>
      </c>
    </row>
    <row r="4" spans="1:11">
      <c r="A4" s="14" t="s">
        <v>10</v>
      </c>
      <c r="B4" s="15">
        <f t="shared" si="0"/>
        <v>-1025</v>
      </c>
      <c r="C4" s="16">
        <v>1</v>
      </c>
      <c r="D4" s="16">
        <v>1</v>
      </c>
      <c r="E4" s="16">
        <v>1</v>
      </c>
      <c r="F4" s="16">
        <v>1</v>
      </c>
      <c r="G4" s="16">
        <v>0</v>
      </c>
      <c r="H4" s="16">
        <v>0</v>
      </c>
      <c r="I4" s="30">
        <v>17401</v>
      </c>
      <c r="J4" s="24"/>
      <c r="K4" s="10">
        <v>7350</v>
      </c>
    </row>
    <row r="5" spans="1:11">
      <c r="A5" s="14" t="s">
        <v>11</v>
      </c>
      <c r="B5" s="15">
        <f t="shared" si="0"/>
        <v>-350</v>
      </c>
      <c r="C5" s="16">
        <v>1</v>
      </c>
      <c r="D5" s="16">
        <v>1</v>
      </c>
      <c r="E5" s="16">
        <v>0</v>
      </c>
      <c r="F5" s="16">
        <v>0</v>
      </c>
      <c r="G5" s="16">
        <v>1</v>
      </c>
      <c r="H5" s="16">
        <v>0</v>
      </c>
      <c r="I5" s="30">
        <v>14901</v>
      </c>
      <c r="J5" s="24"/>
      <c r="K5" s="10">
        <v>7000</v>
      </c>
    </row>
    <row r="6" spans="1:11">
      <c r="A6" s="14" t="s">
        <v>12</v>
      </c>
      <c r="B6" s="15">
        <f t="shared" si="0"/>
        <v>-275</v>
      </c>
      <c r="C6" s="16">
        <v>1</v>
      </c>
      <c r="D6" s="16">
        <v>0</v>
      </c>
      <c r="E6" s="16">
        <v>1</v>
      </c>
      <c r="F6" s="16">
        <v>0</v>
      </c>
      <c r="G6" s="16">
        <v>0</v>
      </c>
      <c r="H6" s="16">
        <v>1</v>
      </c>
      <c r="I6" s="30">
        <v>12901</v>
      </c>
      <c r="J6" s="24"/>
      <c r="K6" s="10">
        <v>6725</v>
      </c>
    </row>
    <row r="7" spans="1:11">
      <c r="A7" s="14" t="s">
        <v>13</v>
      </c>
      <c r="B7" s="15">
        <f t="shared" si="0"/>
        <v>-350</v>
      </c>
      <c r="C7" s="16">
        <v>1</v>
      </c>
      <c r="D7" s="16">
        <v>0</v>
      </c>
      <c r="E7" s="16">
        <v>1</v>
      </c>
      <c r="F7" s="16">
        <v>1</v>
      </c>
      <c r="G7" s="16">
        <v>0</v>
      </c>
      <c r="H7" s="16">
        <v>0</v>
      </c>
      <c r="I7" s="30">
        <v>11401</v>
      </c>
      <c r="J7" s="24"/>
      <c r="K7" s="10">
        <v>6375</v>
      </c>
    </row>
    <row r="8" spans="1:11">
      <c r="A8" s="14" t="s">
        <v>14</v>
      </c>
      <c r="B8" s="15">
        <f t="shared" si="0"/>
        <v>-625</v>
      </c>
      <c r="C8" s="16">
        <v>1</v>
      </c>
      <c r="D8" s="16">
        <v>0</v>
      </c>
      <c r="E8" s="16">
        <v>1</v>
      </c>
      <c r="F8" s="16">
        <v>1</v>
      </c>
      <c r="G8" s="16">
        <v>0</v>
      </c>
      <c r="H8" s="16">
        <v>0</v>
      </c>
      <c r="I8" s="30">
        <v>13401</v>
      </c>
      <c r="J8" s="24"/>
      <c r="K8" s="10">
        <v>5750</v>
      </c>
    </row>
    <row r="9" spans="1:11">
      <c r="A9" s="14" t="s">
        <v>15</v>
      </c>
      <c r="B9" s="15">
        <f t="shared" si="0"/>
        <v>-350</v>
      </c>
      <c r="C9" s="16">
        <v>1</v>
      </c>
      <c r="D9" s="16">
        <v>0</v>
      </c>
      <c r="E9" s="16">
        <v>1</v>
      </c>
      <c r="F9" s="16">
        <v>0</v>
      </c>
      <c r="G9" s="16">
        <v>1</v>
      </c>
      <c r="H9" s="16">
        <v>1</v>
      </c>
      <c r="I9" s="30">
        <v>13901</v>
      </c>
      <c r="J9" s="24"/>
      <c r="K9" s="10">
        <v>5400</v>
      </c>
    </row>
    <row r="10" spans="1:11">
      <c r="A10" s="14" t="s">
        <v>16</v>
      </c>
      <c r="B10" s="15">
        <f t="shared" si="0"/>
        <v>150</v>
      </c>
      <c r="C10" s="16">
        <v>1</v>
      </c>
      <c r="D10" s="16">
        <v>0</v>
      </c>
      <c r="E10" s="16">
        <v>1</v>
      </c>
      <c r="F10" s="16">
        <v>0</v>
      </c>
      <c r="G10" s="16">
        <v>1</v>
      </c>
      <c r="H10" s="16">
        <v>0</v>
      </c>
      <c r="I10" s="30">
        <v>15401</v>
      </c>
      <c r="J10" s="24"/>
      <c r="K10" s="10">
        <v>5550</v>
      </c>
    </row>
    <row r="11" spans="1:11">
      <c r="A11" s="14" t="s">
        <v>17</v>
      </c>
      <c r="B11" s="15">
        <f t="shared" si="0"/>
        <v>950</v>
      </c>
      <c r="C11" s="16">
        <v>1</v>
      </c>
      <c r="D11" s="16">
        <v>0</v>
      </c>
      <c r="E11" s="16">
        <v>0</v>
      </c>
      <c r="F11" s="16">
        <v>0</v>
      </c>
      <c r="G11" s="16">
        <v>0</v>
      </c>
      <c r="H11" s="16">
        <v>1</v>
      </c>
      <c r="I11" s="30">
        <v>11401</v>
      </c>
      <c r="J11" s="24"/>
      <c r="K11" s="10">
        <v>6500</v>
      </c>
    </row>
    <row r="12" spans="1:11">
      <c r="A12" s="14" t="s">
        <v>18</v>
      </c>
      <c r="B12" s="15">
        <f t="shared" si="0"/>
        <v>-1325</v>
      </c>
      <c r="C12" s="16">
        <v>1</v>
      </c>
      <c r="D12" s="16">
        <v>1</v>
      </c>
      <c r="E12" s="16">
        <v>1</v>
      </c>
      <c r="F12" s="16">
        <v>0</v>
      </c>
      <c r="G12" s="16">
        <v>1</v>
      </c>
      <c r="H12" s="16">
        <v>1</v>
      </c>
      <c r="I12" s="30">
        <v>18901</v>
      </c>
      <c r="J12" s="24"/>
      <c r="K12" s="10">
        <v>5175</v>
      </c>
    </row>
    <row r="13" spans="1:11">
      <c r="A13" s="14" t="s">
        <v>19</v>
      </c>
      <c r="B13" s="15">
        <f t="shared" si="0"/>
        <v>-900</v>
      </c>
      <c r="C13" s="16">
        <v>1</v>
      </c>
      <c r="D13" s="16">
        <v>1</v>
      </c>
      <c r="E13" s="16">
        <v>0</v>
      </c>
      <c r="F13" s="16">
        <v>0</v>
      </c>
      <c r="G13" s="16">
        <v>1</v>
      </c>
      <c r="H13" s="16">
        <v>1</v>
      </c>
      <c r="I13" s="30">
        <v>13901</v>
      </c>
      <c r="J13" s="24"/>
      <c r="K13" s="10">
        <v>4275</v>
      </c>
    </row>
    <row r="14" spans="1:11">
      <c r="A14" s="14" t="s">
        <v>20</v>
      </c>
      <c r="B14" s="15">
        <f t="shared" si="0"/>
        <v>-1425</v>
      </c>
      <c r="C14" s="16">
        <v>1</v>
      </c>
      <c r="D14" s="16">
        <v>1</v>
      </c>
      <c r="E14" s="16">
        <v>0</v>
      </c>
      <c r="F14" s="16">
        <v>1</v>
      </c>
      <c r="G14" s="16">
        <v>1</v>
      </c>
      <c r="H14" s="16">
        <v>1</v>
      </c>
      <c r="I14" s="30">
        <v>15401</v>
      </c>
      <c r="J14" s="24"/>
      <c r="K14" s="10">
        <v>2850</v>
      </c>
    </row>
    <row r="15" spans="1:11">
      <c r="A15" s="14" t="s">
        <v>21</v>
      </c>
      <c r="B15" s="15">
        <f t="shared" si="0"/>
        <v>-1225</v>
      </c>
      <c r="C15" s="16">
        <v>1</v>
      </c>
      <c r="D15" s="16">
        <v>0</v>
      </c>
      <c r="E15" s="16">
        <v>1</v>
      </c>
      <c r="F15" s="16">
        <v>1</v>
      </c>
      <c r="G15" s="16">
        <v>0</v>
      </c>
      <c r="H15" s="16">
        <v>1</v>
      </c>
      <c r="I15" s="30">
        <v>15901</v>
      </c>
      <c r="J15" s="24"/>
      <c r="K15" s="10">
        <v>1625</v>
      </c>
    </row>
    <row r="16" spans="1:11">
      <c r="A16" s="14" t="s">
        <v>22</v>
      </c>
      <c r="B16" s="15">
        <f t="shared" si="0"/>
        <v>-500</v>
      </c>
      <c r="C16" s="16">
        <v>1</v>
      </c>
      <c r="D16" s="16">
        <v>1</v>
      </c>
      <c r="E16" s="16">
        <v>0</v>
      </c>
      <c r="F16" s="16">
        <v>1</v>
      </c>
      <c r="G16" s="16">
        <v>0</v>
      </c>
      <c r="H16" s="16">
        <v>1</v>
      </c>
      <c r="I16" s="30">
        <v>16401</v>
      </c>
      <c r="J16" s="24"/>
      <c r="K16" s="10">
        <v>1125</v>
      </c>
    </row>
    <row r="17" ht="14.25" spans="1:12">
      <c r="A17" s="17" t="s">
        <v>23</v>
      </c>
      <c r="B17" s="18">
        <f t="shared" si="0"/>
        <v>-50</v>
      </c>
      <c r="C17" s="19">
        <v>1</v>
      </c>
      <c r="D17" s="19">
        <v>0</v>
      </c>
      <c r="E17" s="19">
        <v>0</v>
      </c>
      <c r="F17" s="19">
        <v>1</v>
      </c>
      <c r="G17" s="19">
        <v>1</v>
      </c>
      <c r="H17" s="19">
        <v>0</v>
      </c>
      <c r="I17" s="31">
        <v>12901</v>
      </c>
      <c r="J17" s="24"/>
      <c r="K17" s="10">
        <v>1075</v>
      </c>
      <c r="L17" s="10">
        <v>8000</v>
      </c>
    </row>
    <row r="18" spans="1:12">
      <c r="A18" s="20" t="s">
        <v>8</v>
      </c>
      <c r="B18" s="21">
        <f>L18-L17</f>
        <v>1025</v>
      </c>
      <c r="C18" s="22">
        <v>1</v>
      </c>
      <c r="D18" s="22">
        <v>0</v>
      </c>
      <c r="E18" s="22">
        <v>1</v>
      </c>
      <c r="F18" s="22">
        <v>0</v>
      </c>
      <c r="G18" s="22">
        <v>0</v>
      </c>
      <c r="H18" s="22">
        <v>0</v>
      </c>
      <c r="I18" s="32">
        <v>16401</v>
      </c>
      <c r="L18" s="10">
        <v>9025</v>
      </c>
    </row>
    <row r="19" spans="1:12">
      <c r="A19" s="23" t="s">
        <v>9</v>
      </c>
      <c r="B19" s="10">
        <f t="shared" ref="B19:B37" si="1">L19-L18</f>
        <v>-2100</v>
      </c>
      <c r="C19" s="24">
        <v>1</v>
      </c>
      <c r="D19" s="24">
        <v>1</v>
      </c>
      <c r="E19" s="24">
        <v>0</v>
      </c>
      <c r="F19" s="24">
        <v>1</v>
      </c>
      <c r="G19" s="24">
        <v>0</v>
      </c>
      <c r="H19" s="24">
        <v>1</v>
      </c>
      <c r="I19" s="33">
        <v>13401</v>
      </c>
      <c r="L19" s="10">
        <v>6925</v>
      </c>
    </row>
    <row r="20" spans="1:12">
      <c r="A20" s="23" t="s">
        <v>10</v>
      </c>
      <c r="B20" s="10">
        <f t="shared" si="1"/>
        <v>-2425</v>
      </c>
      <c r="C20" s="24">
        <v>1</v>
      </c>
      <c r="D20" s="24">
        <v>1</v>
      </c>
      <c r="E20" s="24">
        <v>0</v>
      </c>
      <c r="F20" s="24">
        <v>1</v>
      </c>
      <c r="G20" s="24">
        <v>0</v>
      </c>
      <c r="H20" s="24">
        <v>1</v>
      </c>
      <c r="I20" s="33">
        <v>13901</v>
      </c>
      <c r="L20" s="10">
        <v>4500</v>
      </c>
    </row>
    <row r="21" spans="1:12">
      <c r="A21" s="23" t="s">
        <v>11</v>
      </c>
      <c r="B21" s="10">
        <f t="shared" si="1"/>
        <v>1750</v>
      </c>
      <c r="C21" s="25">
        <v>0</v>
      </c>
      <c r="D21" s="24">
        <v>0</v>
      </c>
      <c r="E21" s="24">
        <v>1</v>
      </c>
      <c r="F21" s="24">
        <v>0</v>
      </c>
      <c r="G21" s="24">
        <v>1</v>
      </c>
      <c r="H21" s="24">
        <v>0</v>
      </c>
      <c r="I21" s="33">
        <v>13901</v>
      </c>
      <c r="L21" s="10">
        <v>6250</v>
      </c>
    </row>
    <row r="22" spans="1:12">
      <c r="A22" s="23" t="s">
        <v>12</v>
      </c>
      <c r="B22" s="10">
        <f t="shared" si="1"/>
        <v>-1725</v>
      </c>
      <c r="C22" s="24">
        <v>1</v>
      </c>
      <c r="D22" s="24">
        <v>0</v>
      </c>
      <c r="E22" s="24">
        <v>0</v>
      </c>
      <c r="F22" s="24">
        <v>1</v>
      </c>
      <c r="G22" s="24">
        <v>1</v>
      </c>
      <c r="H22" s="24">
        <v>0</v>
      </c>
      <c r="I22" s="33">
        <v>15901</v>
      </c>
      <c r="L22" s="10">
        <v>4525</v>
      </c>
    </row>
    <row r="23" spans="1:12">
      <c r="A23" s="23" t="s">
        <v>13</v>
      </c>
      <c r="B23" s="10">
        <f t="shared" si="1"/>
        <v>-2600</v>
      </c>
      <c r="C23" s="24">
        <v>1</v>
      </c>
      <c r="D23" s="24">
        <v>1</v>
      </c>
      <c r="E23" s="24">
        <v>1</v>
      </c>
      <c r="F23" s="24">
        <v>0</v>
      </c>
      <c r="G23" s="24">
        <v>1</v>
      </c>
      <c r="H23" s="24">
        <v>0</v>
      </c>
      <c r="I23" s="33">
        <v>16401</v>
      </c>
      <c r="L23" s="10">
        <v>1925</v>
      </c>
    </row>
    <row r="24" spans="1:12">
      <c r="A24" s="23" t="s">
        <v>14</v>
      </c>
      <c r="B24" s="10">
        <f t="shared" si="1"/>
        <v>3075</v>
      </c>
      <c r="C24" s="25">
        <v>0</v>
      </c>
      <c r="D24" s="24">
        <v>0</v>
      </c>
      <c r="E24" s="24">
        <v>1</v>
      </c>
      <c r="F24" s="24">
        <v>0</v>
      </c>
      <c r="G24" s="24">
        <v>0</v>
      </c>
      <c r="H24" s="24">
        <v>0</v>
      </c>
      <c r="I24" s="33">
        <v>14901</v>
      </c>
      <c r="L24" s="10">
        <v>5000</v>
      </c>
    </row>
    <row r="25" spans="1:12">
      <c r="A25" s="23" t="s">
        <v>15</v>
      </c>
      <c r="B25" s="10">
        <f t="shared" si="1"/>
        <v>650</v>
      </c>
      <c r="C25" s="24">
        <v>1</v>
      </c>
      <c r="D25" s="24">
        <v>1</v>
      </c>
      <c r="E25" s="24">
        <v>0</v>
      </c>
      <c r="F25" s="24">
        <v>0</v>
      </c>
      <c r="G25" s="24">
        <v>0</v>
      </c>
      <c r="H25" s="24">
        <v>0</v>
      </c>
      <c r="I25" s="33">
        <v>15401</v>
      </c>
      <c r="L25" s="10">
        <v>5650</v>
      </c>
    </row>
    <row r="26" spans="1:12">
      <c r="A26" s="23" t="s">
        <v>16</v>
      </c>
      <c r="B26" s="10">
        <f t="shared" si="1"/>
        <v>750</v>
      </c>
      <c r="C26" s="24">
        <v>1</v>
      </c>
      <c r="D26" s="24">
        <v>0</v>
      </c>
      <c r="E26" s="24">
        <v>0</v>
      </c>
      <c r="F26" s="24">
        <v>0</v>
      </c>
      <c r="G26" s="24">
        <v>1</v>
      </c>
      <c r="H26" s="24">
        <v>1</v>
      </c>
      <c r="I26" s="33">
        <v>11901</v>
      </c>
      <c r="L26" s="10">
        <v>6400</v>
      </c>
    </row>
    <row r="27" spans="1:12">
      <c r="A27" s="23" t="s">
        <v>17</v>
      </c>
      <c r="B27" s="10">
        <f t="shared" si="1"/>
        <v>1275</v>
      </c>
      <c r="C27" s="25">
        <v>0</v>
      </c>
      <c r="D27" s="24">
        <v>1</v>
      </c>
      <c r="E27" s="24">
        <v>1</v>
      </c>
      <c r="F27" s="24">
        <v>0</v>
      </c>
      <c r="G27" s="24">
        <v>1</v>
      </c>
      <c r="H27" s="24">
        <v>1</v>
      </c>
      <c r="I27" s="33">
        <v>15901</v>
      </c>
      <c r="L27" s="10">
        <v>7675</v>
      </c>
    </row>
    <row r="28" spans="1:12">
      <c r="A28" s="23" t="s">
        <v>18</v>
      </c>
      <c r="B28" s="10">
        <f t="shared" si="1"/>
        <v>-1475</v>
      </c>
      <c r="C28" s="24">
        <v>1</v>
      </c>
      <c r="D28" s="24">
        <v>0</v>
      </c>
      <c r="E28" s="24">
        <v>0</v>
      </c>
      <c r="F28" s="24">
        <v>1</v>
      </c>
      <c r="G28" s="24">
        <v>0</v>
      </c>
      <c r="H28" s="24">
        <v>1</v>
      </c>
      <c r="I28" s="33">
        <v>13401</v>
      </c>
      <c r="L28" s="10">
        <v>6200</v>
      </c>
    </row>
    <row r="29" spans="1:12">
      <c r="A29" s="23" t="s">
        <v>19</v>
      </c>
      <c r="B29" s="10">
        <f t="shared" si="1"/>
        <v>-775</v>
      </c>
      <c r="C29" s="24">
        <v>1</v>
      </c>
      <c r="D29" s="24">
        <v>0</v>
      </c>
      <c r="E29" s="24">
        <v>1</v>
      </c>
      <c r="F29" s="24">
        <v>0</v>
      </c>
      <c r="G29" s="24">
        <v>0</v>
      </c>
      <c r="H29" s="24">
        <v>1</v>
      </c>
      <c r="I29" s="33">
        <v>16401</v>
      </c>
      <c r="L29" s="10">
        <v>5425</v>
      </c>
    </row>
    <row r="30" spans="1:12">
      <c r="A30" s="23" t="s">
        <v>20</v>
      </c>
      <c r="B30" s="10">
        <f t="shared" si="1"/>
        <v>-125</v>
      </c>
      <c r="C30" s="25">
        <v>0</v>
      </c>
      <c r="D30" s="24">
        <v>1</v>
      </c>
      <c r="E30" s="24">
        <v>1</v>
      </c>
      <c r="F30" s="24">
        <v>1</v>
      </c>
      <c r="G30" s="24">
        <v>1</v>
      </c>
      <c r="H30" s="24">
        <v>1</v>
      </c>
      <c r="I30" s="33">
        <v>16401</v>
      </c>
      <c r="L30" s="10">
        <v>5300</v>
      </c>
    </row>
    <row r="31" spans="1:12">
      <c r="A31" s="23" t="s">
        <v>21</v>
      </c>
      <c r="B31" s="10">
        <f t="shared" si="1"/>
        <v>825</v>
      </c>
      <c r="C31" s="25">
        <v>0</v>
      </c>
      <c r="D31" s="24">
        <v>0</v>
      </c>
      <c r="E31" s="24">
        <v>1</v>
      </c>
      <c r="F31" s="24">
        <v>0</v>
      </c>
      <c r="G31" s="24">
        <v>1</v>
      </c>
      <c r="H31" s="24">
        <v>1</v>
      </c>
      <c r="I31" s="33">
        <v>14901</v>
      </c>
      <c r="L31" s="10">
        <v>6125</v>
      </c>
    </row>
    <row r="32" spans="1:12">
      <c r="A32" s="23" t="s">
        <v>22</v>
      </c>
      <c r="B32" s="10">
        <f t="shared" si="1"/>
        <v>-2675</v>
      </c>
      <c r="C32" s="24">
        <v>1</v>
      </c>
      <c r="D32" s="24">
        <v>1</v>
      </c>
      <c r="E32" s="24">
        <v>1</v>
      </c>
      <c r="F32" s="24">
        <v>0</v>
      </c>
      <c r="G32" s="24">
        <v>0</v>
      </c>
      <c r="H32" s="24">
        <v>0</v>
      </c>
      <c r="I32" s="33">
        <v>14901</v>
      </c>
      <c r="L32" s="10">
        <v>3450</v>
      </c>
    </row>
    <row r="33" spans="1:12">
      <c r="A33" s="23" t="s">
        <v>23</v>
      </c>
      <c r="B33" s="10">
        <f t="shared" si="1"/>
        <v>-1650</v>
      </c>
      <c r="C33" s="24">
        <v>1</v>
      </c>
      <c r="D33" s="24">
        <v>1</v>
      </c>
      <c r="E33" s="24">
        <v>0</v>
      </c>
      <c r="F33" s="24">
        <v>0</v>
      </c>
      <c r="G33" s="24">
        <v>0</v>
      </c>
      <c r="H33" s="24">
        <v>0</v>
      </c>
      <c r="I33" s="33">
        <v>12401</v>
      </c>
      <c r="L33" s="10">
        <v>1800</v>
      </c>
    </row>
    <row r="34" spans="1:12">
      <c r="A34" s="23" t="s">
        <v>24</v>
      </c>
      <c r="B34" s="10">
        <f t="shared" si="1"/>
        <v>1600</v>
      </c>
      <c r="C34" s="25">
        <v>0</v>
      </c>
      <c r="D34" s="24">
        <v>1</v>
      </c>
      <c r="E34" s="24">
        <v>1</v>
      </c>
      <c r="F34" s="24">
        <v>0</v>
      </c>
      <c r="G34" s="24">
        <v>1</v>
      </c>
      <c r="H34" s="24">
        <v>0</v>
      </c>
      <c r="I34" s="33">
        <v>15901</v>
      </c>
      <c r="L34" s="10">
        <v>3400</v>
      </c>
    </row>
    <row r="35" spans="1:12">
      <c r="A35" s="23" t="s">
        <v>25</v>
      </c>
      <c r="B35" s="10">
        <f t="shared" si="1"/>
        <v>-250</v>
      </c>
      <c r="C35" s="24">
        <v>1</v>
      </c>
      <c r="D35" s="24">
        <v>1</v>
      </c>
      <c r="E35" s="24">
        <v>1</v>
      </c>
      <c r="F35" s="24">
        <v>0</v>
      </c>
      <c r="G35" s="24">
        <v>0</v>
      </c>
      <c r="H35" s="24">
        <v>1</v>
      </c>
      <c r="I35" s="33">
        <v>12901</v>
      </c>
      <c r="L35" s="10">
        <v>3150</v>
      </c>
    </row>
    <row r="36" spans="1:12">
      <c r="A36" s="23" t="s">
        <v>26</v>
      </c>
      <c r="B36" s="10">
        <f t="shared" si="1"/>
        <v>-1575</v>
      </c>
      <c r="C36" s="24">
        <v>1</v>
      </c>
      <c r="D36" s="24">
        <v>0</v>
      </c>
      <c r="E36" s="24">
        <v>1</v>
      </c>
      <c r="F36" s="24">
        <v>1</v>
      </c>
      <c r="G36" s="24">
        <v>1</v>
      </c>
      <c r="H36" s="24">
        <v>0</v>
      </c>
      <c r="I36" s="33">
        <v>13901</v>
      </c>
      <c r="L36" s="10">
        <v>1575</v>
      </c>
    </row>
    <row r="37" ht="14.25" spans="1:12">
      <c r="A37" s="26" t="s">
        <v>27</v>
      </c>
      <c r="B37" s="27">
        <f t="shared" si="1"/>
        <v>400</v>
      </c>
      <c r="C37" s="28">
        <v>1</v>
      </c>
      <c r="D37" s="28">
        <v>0</v>
      </c>
      <c r="E37" s="28">
        <v>1</v>
      </c>
      <c r="F37" s="28">
        <v>0</v>
      </c>
      <c r="G37" s="28">
        <v>0</v>
      </c>
      <c r="H37" s="28">
        <v>1</v>
      </c>
      <c r="I37" s="34">
        <v>10901</v>
      </c>
      <c r="L37" s="10">
        <v>1975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zoomScale="115" zoomScaleNormal="115" workbookViewId="0">
      <selection activeCell="A1" sqref="$A1:$XFD1048576"/>
    </sheetView>
  </sheetViews>
  <sheetFormatPr defaultColWidth="9" defaultRowHeight="13.5" outlineLevelCol="3"/>
  <cols>
    <col min="1" max="3" width="9" style="4"/>
    <col min="4" max="4" width="11.7333333333333" style="4" customWidth="1"/>
    <col min="5" max="16384" width="9" style="4"/>
  </cols>
  <sheetData>
    <row r="1" spans="2:4">
      <c r="B1" s="4" t="s">
        <v>28</v>
      </c>
      <c r="C1" s="4" t="b">
        <v>1</v>
      </c>
      <c r="D1" s="4" t="s">
        <v>29</v>
      </c>
    </row>
    <row r="2" ht="14.25" spans="3:4">
      <c r="C2" s="6">
        <v>9900</v>
      </c>
      <c r="D2" s="4">
        <v>9900</v>
      </c>
    </row>
    <row r="3" spans="1:4">
      <c r="A3" s="4" t="s">
        <v>8</v>
      </c>
      <c r="B3" s="7">
        <v>-775</v>
      </c>
      <c r="C3" s="6">
        <v>9125</v>
      </c>
      <c r="D3" s="4">
        <v>8502</v>
      </c>
    </row>
    <row r="4" spans="1:4">
      <c r="A4" s="4" t="s">
        <v>9</v>
      </c>
      <c r="B4" s="8">
        <v>-750</v>
      </c>
      <c r="C4" s="6">
        <v>8375</v>
      </c>
      <c r="D4" s="4">
        <v>7893</v>
      </c>
    </row>
    <row r="5" spans="1:4">
      <c r="A5" s="4" t="s">
        <v>10</v>
      </c>
      <c r="B5" s="8">
        <v>-1025</v>
      </c>
      <c r="C5" s="6">
        <v>7350</v>
      </c>
      <c r="D5" s="4">
        <v>6927</v>
      </c>
    </row>
    <row r="6" spans="1:4">
      <c r="A6" s="4" t="s">
        <v>11</v>
      </c>
      <c r="B6" s="8">
        <v>-350</v>
      </c>
      <c r="C6" s="6">
        <v>7000</v>
      </c>
      <c r="D6" s="4">
        <v>6859</v>
      </c>
    </row>
    <row r="7" spans="1:4">
      <c r="A7" s="4" t="s">
        <v>12</v>
      </c>
      <c r="B7" s="8">
        <v>-275</v>
      </c>
      <c r="C7" s="6">
        <v>6725</v>
      </c>
      <c r="D7" s="4">
        <v>6812</v>
      </c>
    </row>
    <row r="8" spans="1:4">
      <c r="A8" s="4" t="s">
        <v>13</v>
      </c>
      <c r="B8" s="8">
        <v>-350</v>
      </c>
      <c r="C8" s="6">
        <v>6375</v>
      </c>
      <c r="D8" s="4">
        <v>6526</v>
      </c>
    </row>
    <row r="9" spans="1:4">
      <c r="A9" s="4" t="s">
        <v>14</v>
      </c>
      <c r="B9" s="8">
        <v>-625</v>
      </c>
      <c r="C9" s="6">
        <v>5750</v>
      </c>
      <c r="D9" s="4">
        <v>6240</v>
      </c>
    </row>
    <row r="10" spans="1:4">
      <c r="A10" s="4" t="s">
        <v>15</v>
      </c>
      <c r="B10" s="8">
        <v>-350</v>
      </c>
      <c r="C10" s="6">
        <v>5400</v>
      </c>
      <c r="D10" s="4">
        <v>5623</v>
      </c>
    </row>
    <row r="11" spans="1:4">
      <c r="A11" s="4" t="s">
        <v>16</v>
      </c>
      <c r="B11" s="8">
        <v>150</v>
      </c>
      <c r="C11" s="6">
        <v>5550</v>
      </c>
      <c r="D11" s="4">
        <v>5547</v>
      </c>
    </row>
    <row r="12" spans="1:4">
      <c r="A12" s="4" t="s">
        <v>17</v>
      </c>
      <c r="B12" s="8">
        <v>950</v>
      </c>
      <c r="C12" s="6">
        <v>6500</v>
      </c>
      <c r="D12" s="4">
        <v>6188</v>
      </c>
    </row>
    <row r="13" spans="1:4">
      <c r="A13" s="4" t="s">
        <v>18</v>
      </c>
      <c r="B13" s="8">
        <v>-1325</v>
      </c>
      <c r="C13" s="6">
        <v>5175</v>
      </c>
      <c r="D13" s="4">
        <v>4891</v>
      </c>
    </row>
    <row r="14" spans="1:4">
      <c r="A14" s="4" t="s">
        <v>19</v>
      </c>
      <c r="B14" s="8">
        <v>-900</v>
      </c>
      <c r="C14" s="6">
        <v>4275</v>
      </c>
      <c r="D14" s="4">
        <v>4282</v>
      </c>
    </row>
    <row r="15" spans="1:4">
      <c r="A15" s="4" t="s">
        <v>20</v>
      </c>
      <c r="B15" s="8">
        <v>-1425</v>
      </c>
      <c r="C15" s="6">
        <v>2850</v>
      </c>
      <c r="D15" s="4">
        <v>2892</v>
      </c>
    </row>
    <row r="16" spans="1:4">
      <c r="A16" s="4" t="s">
        <v>21</v>
      </c>
      <c r="B16" s="8">
        <v>-1225</v>
      </c>
      <c r="C16" s="6">
        <v>1625</v>
      </c>
      <c r="D16" s="4">
        <v>2064</v>
      </c>
    </row>
    <row r="17" spans="1:4">
      <c r="A17" s="4" t="s">
        <v>22</v>
      </c>
      <c r="B17" s="8">
        <v>-500</v>
      </c>
      <c r="C17" s="6">
        <v>1125</v>
      </c>
      <c r="D17" s="4">
        <v>1245</v>
      </c>
    </row>
    <row r="18" ht="14.25" spans="1:4">
      <c r="A18" s="4" t="s">
        <v>23</v>
      </c>
      <c r="B18" s="9">
        <v>-50</v>
      </c>
      <c r="C18" s="6">
        <v>1075</v>
      </c>
      <c r="D18" s="4">
        <v>1075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zoomScale="115" zoomScaleNormal="115" workbookViewId="0">
      <selection activeCell="G28" sqref="G28"/>
    </sheetView>
  </sheetViews>
  <sheetFormatPr defaultColWidth="9" defaultRowHeight="13.5" outlineLevelCol="4"/>
  <cols>
    <col min="1" max="3" width="9" style="4"/>
    <col min="4" max="4" width="11.7333333333333" style="4" customWidth="1"/>
    <col min="5" max="16384" width="9" style="4"/>
  </cols>
  <sheetData>
    <row r="1" s="4" customFormat="1" spans="2:5">
      <c r="B1" s="4" t="s">
        <v>28</v>
      </c>
      <c r="C1" s="4" t="b">
        <v>1</v>
      </c>
      <c r="D1" s="4" t="s">
        <v>29</v>
      </c>
      <c r="E1" s="4" t="s">
        <v>30</v>
      </c>
    </row>
    <row r="2" s="4" customFormat="1" spans="3:4">
      <c r="C2" s="4">
        <v>8000</v>
      </c>
      <c r="D2" s="4">
        <v>2000</v>
      </c>
    </row>
    <row r="3" s="4" customFormat="1" spans="1:5">
      <c r="A3" s="4" t="s">
        <v>8</v>
      </c>
      <c r="B3" s="4">
        <v>1025</v>
      </c>
      <c r="C3" s="4">
        <f>C2+B3</f>
        <v>9025</v>
      </c>
      <c r="D3" s="4">
        <v>2495</v>
      </c>
      <c r="E3" s="4">
        <f>D3-D2</f>
        <v>495</v>
      </c>
    </row>
    <row r="4" s="4" customFormat="1" spans="1:5">
      <c r="A4" s="4" t="s">
        <v>9</v>
      </c>
      <c r="B4" s="4">
        <v>-2100</v>
      </c>
      <c r="C4" s="4">
        <f t="shared" ref="C4:C22" si="0">C3+B4</f>
        <v>6925</v>
      </c>
      <c r="D4" s="4">
        <v>1675</v>
      </c>
      <c r="E4" s="4">
        <f t="shared" ref="E4:E22" si="1">D4-D3</f>
        <v>-820</v>
      </c>
    </row>
    <row r="5" s="4" customFormat="1" spans="1:5">
      <c r="A5" s="4" t="s">
        <v>10</v>
      </c>
      <c r="B5" s="4">
        <v>-2425</v>
      </c>
      <c r="C5" s="4">
        <f t="shared" si="0"/>
        <v>4500</v>
      </c>
      <c r="D5" s="4">
        <v>855</v>
      </c>
      <c r="E5" s="4">
        <f t="shared" si="1"/>
        <v>-820</v>
      </c>
    </row>
    <row r="6" s="4" customFormat="1" spans="1:5">
      <c r="A6" s="5" t="s">
        <v>11</v>
      </c>
      <c r="B6" s="4">
        <v>1750</v>
      </c>
      <c r="C6" s="4">
        <f t="shared" si="0"/>
        <v>6250</v>
      </c>
      <c r="D6" s="4">
        <v>2901</v>
      </c>
      <c r="E6" s="4">
        <f t="shared" si="1"/>
        <v>2046</v>
      </c>
    </row>
    <row r="7" s="4" customFormat="1" spans="1:5">
      <c r="A7" s="4" t="s">
        <v>12</v>
      </c>
      <c r="B7" s="4">
        <v>-1725</v>
      </c>
      <c r="C7" s="4">
        <f t="shared" si="0"/>
        <v>4525</v>
      </c>
      <c r="D7" s="4">
        <v>2731</v>
      </c>
      <c r="E7" s="4">
        <f t="shared" si="1"/>
        <v>-170</v>
      </c>
    </row>
    <row r="8" s="4" customFormat="1" spans="1:5">
      <c r="A8" s="4" t="s">
        <v>13</v>
      </c>
      <c r="B8" s="4">
        <v>-2600</v>
      </c>
      <c r="C8" s="4">
        <f t="shared" si="0"/>
        <v>1925</v>
      </c>
      <c r="D8" s="4">
        <v>1976</v>
      </c>
      <c r="E8" s="4">
        <f t="shared" si="1"/>
        <v>-755</v>
      </c>
    </row>
    <row r="9" s="4" customFormat="1" spans="1:5">
      <c r="A9" s="5" t="s">
        <v>14</v>
      </c>
      <c r="B9" s="4">
        <v>3075</v>
      </c>
      <c r="C9" s="4">
        <f t="shared" si="0"/>
        <v>5000</v>
      </c>
      <c r="D9" s="4">
        <v>4592</v>
      </c>
      <c r="E9" s="4">
        <f t="shared" si="1"/>
        <v>2616</v>
      </c>
    </row>
    <row r="10" s="4" customFormat="1" spans="1:5">
      <c r="A10" s="4" t="s">
        <v>15</v>
      </c>
      <c r="B10" s="4">
        <v>650</v>
      </c>
      <c r="C10" s="4">
        <f t="shared" si="0"/>
        <v>5650</v>
      </c>
      <c r="D10" s="4">
        <v>5094</v>
      </c>
      <c r="E10" s="4">
        <f t="shared" si="1"/>
        <v>502</v>
      </c>
    </row>
    <row r="11" s="4" customFormat="1" spans="1:5">
      <c r="A11" s="4" t="s">
        <v>16</v>
      </c>
      <c r="B11" s="4">
        <v>750</v>
      </c>
      <c r="C11" s="4">
        <f t="shared" si="0"/>
        <v>6400</v>
      </c>
      <c r="D11" s="4">
        <v>5165</v>
      </c>
      <c r="E11" s="4">
        <f t="shared" si="1"/>
        <v>71</v>
      </c>
    </row>
    <row r="12" s="4" customFormat="1" spans="1:5">
      <c r="A12" s="5" t="s">
        <v>17</v>
      </c>
      <c r="B12" s="4">
        <v>1275</v>
      </c>
      <c r="C12" s="4">
        <f t="shared" si="0"/>
        <v>7675</v>
      </c>
      <c r="D12" s="4">
        <v>5989</v>
      </c>
      <c r="E12" s="4">
        <f t="shared" si="1"/>
        <v>824</v>
      </c>
    </row>
    <row r="13" s="4" customFormat="1" spans="1:5">
      <c r="A13" s="4" t="s">
        <v>18</v>
      </c>
      <c r="B13" s="4">
        <v>-1475</v>
      </c>
      <c r="C13" s="4">
        <f t="shared" si="0"/>
        <v>6200</v>
      </c>
      <c r="D13" s="4">
        <v>5849</v>
      </c>
      <c r="E13" s="4">
        <f t="shared" si="1"/>
        <v>-140</v>
      </c>
    </row>
    <row r="14" s="4" customFormat="1" spans="1:5">
      <c r="A14" s="4" t="s">
        <v>19</v>
      </c>
      <c r="B14" s="4">
        <v>-775</v>
      </c>
      <c r="C14" s="4">
        <f t="shared" si="0"/>
        <v>5425</v>
      </c>
      <c r="D14" s="4">
        <v>5803</v>
      </c>
      <c r="E14" s="4">
        <f t="shared" si="1"/>
        <v>-46</v>
      </c>
    </row>
    <row r="15" s="4" customFormat="1" spans="1:5">
      <c r="A15" s="5" t="s">
        <v>20</v>
      </c>
      <c r="B15" s="4">
        <v>-125</v>
      </c>
      <c r="C15" s="4">
        <f t="shared" si="0"/>
        <v>5300</v>
      </c>
      <c r="D15" s="4">
        <v>5847</v>
      </c>
      <c r="E15" s="4">
        <f t="shared" si="1"/>
        <v>44</v>
      </c>
    </row>
    <row r="16" s="4" customFormat="1" spans="1:5">
      <c r="A16" s="5" t="s">
        <v>21</v>
      </c>
      <c r="B16" s="4">
        <v>825</v>
      </c>
      <c r="C16" s="4">
        <f t="shared" si="0"/>
        <v>6125</v>
      </c>
      <c r="D16" s="4">
        <v>7351</v>
      </c>
      <c r="E16" s="4">
        <f t="shared" si="1"/>
        <v>1504</v>
      </c>
    </row>
    <row r="17" s="4" customFormat="1" spans="1:5">
      <c r="A17" s="4" t="s">
        <v>22</v>
      </c>
      <c r="B17" s="4">
        <v>-2675</v>
      </c>
      <c r="C17" s="4">
        <f t="shared" si="0"/>
        <v>3450</v>
      </c>
      <c r="D17" s="4">
        <v>7166</v>
      </c>
      <c r="E17" s="4">
        <f t="shared" si="1"/>
        <v>-185</v>
      </c>
    </row>
    <row r="18" s="4" customFormat="1" spans="1:5">
      <c r="A18" s="4" t="s">
        <v>23</v>
      </c>
      <c r="B18" s="4">
        <v>-1650</v>
      </c>
      <c r="C18" s="4">
        <f t="shared" si="0"/>
        <v>1800</v>
      </c>
      <c r="D18" s="4">
        <v>7669</v>
      </c>
      <c r="E18" s="4">
        <f t="shared" si="1"/>
        <v>503</v>
      </c>
    </row>
    <row r="19" s="4" customFormat="1" spans="1:5">
      <c r="A19" s="5" t="s">
        <v>24</v>
      </c>
      <c r="B19" s="4">
        <v>1600</v>
      </c>
      <c r="C19" s="4">
        <f t="shared" si="0"/>
        <v>3400</v>
      </c>
      <c r="D19" s="4">
        <v>9034</v>
      </c>
      <c r="E19" s="4">
        <f t="shared" si="1"/>
        <v>1365</v>
      </c>
    </row>
    <row r="20" s="4" customFormat="1" spans="1:5">
      <c r="A20" s="4" t="s">
        <v>25</v>
      </c>
      <c r="B20" s="4">
        <v>-250</v>
      </c>
      <c r="C20" s="4">
        <f t="shared" si="0"/>
        <v>3150</v>
      </c>
      <c r="D20" s="4">
        <v>8308</v>
      </c>
      <c r="E20" s="4">
        <f t="shared" si="1"/>
        <v>-726</v>
      </c>
    </row>
    <row r="21" s="4" customFormat="1" spans="1:5">
      <c r="A21" s="4" t="s">
        <v>26</v>
      </c>
      <c r="B21" s="4">
        <v>-1575</v>
      </c>
      <c r="C21" s="4">
        <f t="shared" si="0"/>
        <v>1575</v>
      </c>
      <c r="D21" s="4">
        <v>7451</v>
      </c>
      <c r="E21" s="4">
        <f t="shared" si="1"/>
        <v>-857</v>
      </c>
    </row>
    <row r="22" s="4" customFormat="1" spans="1:5">
      <c r="A22" s="4" t="s">
        <v>27</v>
      </c>
      <c r="B22" s="4">
        <v>400</v>
      </c>
      <c r="C22" s="4">
        <f t="shared" si="0"/>
        <v>1975</v>
      </c>
      <c r="D22" s="4">
        <v>7405</v>
      </c>
      <c r="E22" s="4">
        <f t="shared" si="1"/>
        <v>-46</v>
      </c>
    </row>
    <row r="25" spans="2:5">
      <c r="B25" s="4" t="s">
        <v>28</v>
      </c>
      <c r="C25" s="4" t="b">
        <v>1</v>
      </c>
      <c r="D25" s="4" t="s">
        <v>29</v>
      </c>
      <c r="E25" s="4" t="s">
        <v>30</v>
      </c>
    </row>
    <row r="26" spans="3:4">
      <c r="C26" s="4">
        <v>0</v>
      </c>
      <c r="D26" s="4">
        <v>0</v>
      </c>
    </row>
    <row r="27" spans="1:5">
      <c r="A27" s="4" t="s">
        <v>11</v>
      </c>
      <c r="B27" s="4">
        <v>1750</v>
      </c>
      <c r="C27" s="4">
        <f t="shared" ref="C27:C32" si="2">C26+B27</f>
        <v>1750</v>
      </c>
      <c r="D27" s="4">
        <f t="shared" ref="D27:D32" si="3">D26+E27</f>
        <v>2046</v>
      </c>
      <c r="E27" s="4">
        <v>2046</v>
      </c>
    </row>
    <row r="28" spans="1:5">
      <c r="A28" s="4" t="s">
        <v>14</v>
      </c>
      <c r="B28" s="4">
        <v>3075</v>
      </c>
      <c r="C28" s="4">
        <f t="shared" si="2"/>
        <v>4825</v>
      </c>
      <c r="D28" s="4">
        <f t="shared" si="3"/>
        <v>4662</v>
      </c>
      <c r="E28" s="4">
        <v>2616</v>
      </c>
    </row>
    <row r="29" spans="1:5">
      <c r="A29" s="4" t="s">
        <v>17</v>
      </c>
      <c r="B29" s="4">
        <v>1275</v>
      </c>
      <c r="C29" s="4">
        <f t="shared" si="2"/>
        <v>6100</v>
      </c>
      <c r="D29" s="4">
        <f t="shared" si="3"/>
        <v>5486</v>
      </c>
      <c r="E29" s="4">
        <v>824</v>
      </c>
    </row>
    <row r="30" spans="1:5">
      <c r="A30" s="4" t="s">
        <v>20</v>
      </c>
      <c r="B30" s="4">
        <v>-125</v>
      </c>
      <c r="C30" s="4">
        <f t="shared" si="2"/>
        <v>5975</v>
      </c>
      <c r="D30" s="4">
        <f t="shared" si="3"/>
        <v>5530</v>
      </c>
      <c r="E30" s="4">
        <v>44</v>
      </c>
    </row>
    <row r="31" spans="1:5">
      <c r="A31" s="4" t="s">
        <v>21</v>
      </c>
      <c r="B31" s="4">
        <v>825</v>
      </c>
      <c r="C31" s="4">
        <f t="shared" si="2"/>
        <v>6800</v>
      </c>
      <c r="D31" s="4">
        <f t="shared" si="3"/>
        <v>7034</v>
      </c>
      <c r="E31" s="4">
        <v>1504</v>
      </c>
    </row>
    <row r="32" spans="1:5">
      <c r="A32" s="4" t="s">
        <v>24</v>
      </c>
      <c r="B32" s="4">
        <v>1600</v>
      </c>
      <c r="C32" s="4">
        <f t="shared" si="2"/>
        <v>8400</v>
      </c>
      <c r="D32" s="4">
        <f t="shared" si="3"/>
        <v>8399</v>
      </c>
      <c r="E32" s="4">
        <v>1365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zoomScale="190" zoomScaleNormal="190" workbookViewId="0">
      <selection activeCell="I3" sqref="I3"/>
    </sheetView>
  </sheetViews>
  <sheetFormatPr defaultColWidth="9" defaultRowHeight="13.5" outlineLevelRow="1"/>
  <cols>
    <col min="1" max="1" width="10.375" style="1"/>
    <col min="2" max="2" width="9.375" style="1"/>
    <col min="3" max="3" width="9" style="1"/>
    <col min="4" max="5" width="9.375" style="1"/>
    <col min="6" max="6" width="11.9083333333333" style="1" customWidth="1"/>
    <col min="7" max="7" width="9.375" style="1"/>
    <col min="8" max="8" width="9" style="1"/>
    <col min="9" max="9" width="13.75" style="1"/>
    <col min="10" max="16384" width="9" style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1" t="s">
        <v>31</v>
      </c>
    </row>
    <row r="2" spans="1:9">
      <c r="A2" s="3">
        <v>-3303.4731</v>
      </c>
      <c r="B2" s="3">
        <v>2121.3376</v>
      </c>
      <c r="C2" s="3">
        <v>679.6548</v>
      </c>
      <c r="D2" s="3">
        <v>687.4136</v>
      </c>
      <c r="E2" s="3">
        <v>781.0672</v>
      </c>
      <c r="F2" s="3">
        <v>570.6209</v>
      </c>
      <c r="G2" s="1">
        <v>541.0737</v>
      </c>
      <c r="I2" s="1">
        <f>A2+0.5625*SUM(B2:G2)</f>
        <v>-276.5662125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zoomScale="175" zoomScaleNormal="175" workbookViewId="0">
      <selection activeCell="F8" sqref="F8"/>
    </sheetView>
  </sheetViews>
  <sheetFormatPr defaultColWidth="9" defaultRowHeight="13.5" outlineLevelRow="7" outlineLevelCol="1"/>
  <sheetData>
    <row r="1" spans="1:2">
      <c r="A1" t="s">
        <v>32</v>
      </c>
      <c r="B1">
        <v>4.91</v>
      </c>
    </row>
    <row r="2" spans="1:2">
      <c r="A2" t="s">
        <v>33</v>
      </c>
      <c r="B2">
        <v>48.26</v>
      </c>
    </row>
    <row r="3" spans="1:2">
      <c r="A3" t="s">
        <v>34</v>
      </c>
      <c r="B3">
        <v>99.91</v>
      </c>
    </row>
    <row r="5" spans="1:2">
      <c r="A5" t="s">
        <v>35</v>
      </c>
      <c r="B5">
        <v>-500</v>
      </c>
    </row>
    <row r="6" spans="1:2">
      <c r="A6" t="s">
        <v>32</v>
      </c>
      <c r="B6">
        <v>0</v>
      </c>
    </row>
    <row r="7" spans="1:2">
      <c r="A7" t="s">
        <v>33</v>
      </c>
      <c r="B7">
        <v>0</v>
      </c>
    </row>
    <row r="8" spans="1:2">
      <c r="A8" t="s">
        <v>34</v>
      </c>
      <c r="B8">
        <v>0.04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截图</vt:lpstr>
      <vt:lpstr>汇总</vt:lpstr>
      <vt:lpstr>折线对比1</vt:lpstr>
      <vt:lpstr>折线对比2</vt:lpstr>
      <vt:lpstr>模型参数</vt:lpstr>
      <vt:lpstr>破阵率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2025-02-03T01:50:00Z</dcterms:created>
  <dcterms:modified xsi:type="dcterms:W3CDTF">2025-09-23T08:42:22Z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2052-12.1.0.21915</vt:lpwstr>
  </property>
</Properties>
</file>