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945" windowHeight="8385" activeTab="1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<sst xmlns="http://schemas.openxmlformats.org/spreadsheetml/2006/main" count="229" uniqueCount="83">
  <si>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</si>
  <si>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</si>
  <si>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</si>
  <si>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</si>
  <si>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</si>
  <si>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</si>
  <si>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</si>
  <si>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</si>
  <si>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</si>
  <si>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</si>
  <si>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</si>
  <si>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</si>
  <si>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</si>
  <si>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</si>
  <si>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</si>
  <si>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</si>
  <si>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</si>
  <si>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</si>
  <si>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</si>
  <si>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</si>
  <si>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</si>
  <si>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</si>
  <si>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</si>
  <si>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</si>
  <si>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</si>
  <si>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</si>
  <si>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</si>
  <si>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</si>
  <si>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</si>
  <si>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</si>
  <si>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</si>
  <si>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</si>
  <si>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</si>
  <si>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</si>
  <si>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</si>
  <si>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</si>
  <si>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</si>
  <si>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</si>
  <si>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阳光</t>
  </si>
  <si>
    <t>阳光变化</t>
  </si>
  <si>
    <t>墓碑修正</t>
  </si>
  <si>
    <t>真阳光变化</t>
  </si>
  <si>
    <t>阳光变化 去南瓜</t>
  </si>
  <si>
    <t>dlt 去后场南瓜</t>
  </si>
  <si>
    <t>前场南瓜数</t>
  </si>
  <si>
    <t>后场南瓜数</t>
  </si>
  <si>
    <t>红眼数</t>
  </si>
  <si>
    <t>橄榄数</t>
  </si>
  <si>
    <t>2000f</t>
  </si>
  <si>
    <t>/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</si>
  <si>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</si>
  <si>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</si>
  <si>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</si>
  <si>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</si>
  <si>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</si>
  <si>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</si>
  <si>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</si>
  <si>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</si>
  <si>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</si>
  <si>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其他损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</si>
  <si>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</si>
  <si>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</si>
  <si>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</si>
  <si>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</si>
  <si>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</si>
  <si>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</si>
  <si>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</si>
  <si>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</si>
  <si>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密度</t>
  </si>
  <si>
    <t>红眼:橄榄</t>
  </si>
  <si>
    <t>橄榄:舞王</t>
  </si>
  <si>
    <t>橄榄:密度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</si>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</sst>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4" applyNumberFormat="0" applyFill="0" applyAlignment="0" applyProtection="0">
      <alignment vertical="center"/>
    </xf>
    <xf numFmtId="0" fontId="9" fillId="0" borderId="24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6" applyNumberFormat="0" applyAlignment="0" applyProtection="0">
      <alignment vertical="center"/>
    </xf>
    <xf numFmtId="0" fontId="12" fillId="5" borderId="27" applyNumberFormat="0" applyAlignment="0" applyProtection="0">
      <alignment vertical="center"/>
    </xf>
    <xf numFmtId="0" fontId="13" fillId="5" borderId="26" applyNumberFormat="0" applyAlignment="0" applyProtection="0">
      <alignment vertical="center"/>
    </xf>
    <xf numFmtId="0" fontId="14" fillId="6" borderId="28" applyNumberFormat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0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6000</c:v>
                </c:pt>
                <c:pt idx="1">
                  <c:v>5369.2</c:v>
                </c:pt>
                <c:pt idx="2">
                  <c:v>5563.4</c:v>
                </c:pt>
                <c:pt idx="3">
                  <c:v>4532.6</c:v>
                </c:pt>
                <c:pt idx="4">
                  <c:v>4226.8</c:v>
                </c:pt>
                <c:pt idx="5">
                  <c:v>4621</c:v>
                </c:pt>
                <c:pt idx="6">
                  <c:v>5015.2</c:v>
                </c:pt>
                <c:pt idx="7">
                  <c:v>5359.4</c:v>
                </c:pt>
                <c:pt idx="8">
                  <c:v>5203.6</c:v>
                </c:pt>
                <c:pt idx="9">
                  <c:v>5397.8</c:v>
                </c:pt>
                <c:pt idx="10">
                  <c:v>4692</c:v>
                </c:pt>
                <c:pt idx="11">
                  <c:v>5261.2</c:v>
                </c:pt>
                <c:pt idx="12">
                  <c:v>4780.4</c:v>
                </c:pt>
                <c:pt idx="13">
                  <c:v>5124.6</c:v>
                </c:pt>
                <c:pt idx="14">
                  <c:v>5018.8</c:v>
                </c:pt>
                <c:pt idx="15">
                  <c:v>5113</c:v>
                </c:pt>
                <c:pt idx="16">
                  <c:v>4807.2</c:v>
                </c:pt>
                <c:pt idx="17">
                  <c:v>5026.4</c:v>
                </c:pt>
                <c:pt idx="18">
                  <c:v>4820.6</c:v>
                </c:pt>
                <c:pt idx="19">
                  <c:v>4114.8</c:v>
                </c:pt>
                <c:pt idx="20">
                  <c:v>4259</c:v>
                </c:pt>
                <c:pt idx="21">
                  <c:v>3503.2</c:v>
                </c:pt>
                <c:pt idx="22">
                  <c:v>2822.4</c:v>
                </c:pt>
                <c:pt idx="23">
                  <c:v>3266.6</c:v>
                </c:pt>
                <c:pt idx="24">
                  <c:v>2935.8</c:v>
                </c:pt>
                <c:pt idx="25">
                  <c:v>2205</c:v>
                </c:pt>
                <c:pt idx="26">
                  <c:v>2349.2</c:v>
                </c:pt>
                <c:pt idx="27">
                  <c:v>2793.4</c:v>
                </c:pt>
                <c:pt idx="28">
                  <c:v>2487.59999999999</c:v>
                </c:pt>
                <c:pt idx="29">
                  <c:v>2306.79999999999</c:v>
                </c:pt>
                <c:pt idx="30">
                  <c:v>1900.99999999999</c:v>
                </c:pt>
                <c:pt idx="31">
                  <c:v>1895.19999999999</c:v>
                </c:pt>
                <c:pt idx="32">
                  <c:v>989.399999999995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6000</c:v>
                </c:pt>
                <c:pt idx="1">
                  <c:v>5516.85625</c:v>
                </c:pt>
                <c:pt idx="2">
                  <c:v>5546.2125</c:v>
                </c:pt>
                <c:pt idx="3">
                  <c:v>4772.44375</c:v>
                </c:pt>
                <c:pt idx="4">
                  <c:v>4634.6125</c:v>
                </c:pt>
                <c:pt idx="5">
                  <c:v>5093.65625</c:v>
                </c:pt>
                <c:pt idx="6">
                  <c:v>5505.825</c:v>
                </c:pt>
                <c:pt idx="7">
                  <c:v>5864.86875</c:v>
                </c:pt>
                <c:pt idx="8">
                  <c:v>5506.725</c:v>
                </c:pt>
                <c:pt idx="9">
                  <c:v>5628.26875</c:v>
                </c:pt>
                <c:pt idx="10">
                  <c:v>4946.6875</c:v>
                </c:pt>
                <c:pt idx="11">
                  <c:v>5299.48125</c:v>
                </c:pt>
                <c:pt idx="12">
                  <c:v>4927.275</c:v>
                </c:pt>
                <c:pt idx="13">
                  <c:v>5194.13125</c:v>
                </c:pt>
                <c:pt idx="14">
                  <c:v>4935.9875</c:v>
                </c:pt>
                <c:pt idx="15">
                  <c:v>5302.84375</c:v>
                </c:pt>
                <c:pt idx="16">
                  <c:v>5036.8875</c:v>
                </c:pt>
                <c:pt idx="17">
                  <c:v>5097.49375</c:v>
                </c:pt>
                <c:pt idx="18">
                  <c:v>4931.53749999999</c:v>
                </c:pt>
                <c:pt idx="19">
                  <c:v>4281.20624999999</c:v>
                </c:pt>
                <c:pt idx="20">
                  <c:v>4541.81249999999</c:v>
                </c:pt>
                <c:pt idx="21">
                  <c:v>4077.41874999999</c:v>
                </c:pt>
                <c:pt idx="22">
                  <c:v>3044.275</c:v>
                </c:pt>
                <c:pt idx="23">
                  <c:v>3364.25624999999</c:v>
                </c:pt>
                <c:pt idx="24">
                  <c:v>2999.86249999999</c:v>
                </c:pt>
                <c:pt idx="25">
                  <c:v>2257.34374999999</c:v>
                </c:pt>
                <c:pt idx="26">
                  <c:v>2417.94999999999</c:v>
                </c:pt>
                <c:pt idx="27">
                  <c:v>2670.74374999999</c:v>
                </c:pt>
                <c:pt idx="28">
                  <c:v>2279.78749999999</c:v>
                </c:pt>
                <c:pt idx="29">
                  <c:v>2007.58124999999</c:v>
                </c:pt>
                <c:pt idx="30">
                  <c:v>1777.56249999999</c:v>
                </c:pt>
                <c:pt idx="31">
                  <c:v>1930.35624999999</c:v>
                </c:pt>
                <c:pt idx="32">
                  <c:v>989.399999999993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6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32efad-23a0-4662-97ad-08cd5a72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-350</c:v>
                </c:pt>
                <c:pt idx="1">
                  <c:v>475</c:v>
                </c:pt>
                <c:pt idx="2">
                  <c:v>-750</c:v>
                </c:pt>
                <c:pt idx="3">
                  <c:v>-25</c:v>
                </c:pt>
                <c:pt idx="4">
                  <c:v>675</c:v>
                </c:pt>
                <c:pt idx="5">
                  <c:v>675</c:v>
                </c:pt>
                <c:pt idx="6">
                  <c:v>625</c:v>
                </c:pt>
                <c:pt idx="7">
                  <c:v>125</c:v>
                </c:pt>
                <c:pt idx="8">
                  <c:v>475</c:v>
                </c:pt>
                <c:pt idx="9">
                  <c:v>-425</c:v>
                </c:pt>
                <c:pt idx="10">
                  <c:v>850</c:v>
                </c:pt>
                <c:pt idx="11">
                  <c:v>-200</c:v>
                </c:pt>
                <c:pt idx="12">
                  <c:v>625</c:v>
                </c:pt>
                <c:pt idx="13">
                  <c:v>175</c:v>
                </c:pt>
                <c:pt idx="14">
                  <c:v>375</c:v>
                </c:pt>
                <c:pt idx="15">
                  <c:v>-25</c:v>
                </c:pt>
                <c:pt idx="16">
                  <c:v>500</c:v>
                </c:pt>
                <c:pt idx="17">
                  <c:v>75</c:v>
                </c:pt>
                <c:pt idx="18">
                  <c:v>-425</c:v>
                </c:pt>
                <c:pt idx="19">
                  <c:v>425</c:v>
                </c:pt>
                <c:pt idx="20">
                  <c:v>-475</c:v>
                </c:pt>
                <c:pt idx="21">
                  <c:v>-400</c:v>
                </c:pt>
                <c:pt idx="22">
                  <c:v>725</c:v>
                </c:pt>
                <c:pt idx="23">
                  <c:v>-50</c:v>
                </c:pt>
                <c:pt idx="24">
                  <c:v>-450</c:v>
                </c:pt>
                <c:pt idx="25">
                  <c:v>425</c:v>
                </c:pt>
                <c:pt idx="26">
                  <c:v>725</c:v>
                </c:pt>
                <c:pt idx="27">
                  <c:v>-25</c:v>
                </c:pt>
                <c:pt idx="28">
                  <c:v>100</c:v>
                </c:pt>
                <c:pt idx="29">
                  <c:v>-125</c:v>
                </c:pt>
                <c:pt idx="30">
                  <c:v>275</c:v>
                </c:pt>
                <c:pt idx="31">
                  <c:v>-625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-202.34375</c:v>
                </c:pt>
                <c:pt idx="1">
                  <c:v>310.156249999999</c:v>
                </c:pt>
                <c:pt idx="2">
                  <c:v>-492.96875</c:v>
                </c:pt>
                <c:pt idx="3">
                  <c:v>142.96875</c:v>
                </c:pt>
                <c:pt idx="4">
                  <c:v>739.84375</c:v>
                </c:pt>
                <c:pt idx="5">
                  <c:v>692.968749999999</c:v>
                </c:pt>
                <c:pt idx="6">
                  <c:v>639.84375</c:v>
                </c:pt>
                <c:pt idx="7">
                  <c:v>-77.3437499999998</c:v>
                </c:pt>
                <c:pt idx="8">
                  <c:v>402.34375</c:v>
                </c:pt>
                <c:pt idx="9">
                  <c:v>-400.781249999999</c:v>
                </c:pt>
                <c:pt idx="10">
                  <c:v>633.59375</c:v>
                </c:pt>
                <c:pt idx="11">
                  <c:v>-91.4062499999998</c:v>
                </c:pt>
                <c:pt idx="12">
                  <c:v>547.65625</c:v>
                </c:pt>
                <c:pt idx="13">
                  <c:v>22.65625</c:v>
                </c:pt>
                <c:pt idx="14">
                  <c:v>647.65625</c:v>
                </c:pt>
                <c:pt idx="15">
                  <c:v>14.8437500000003</c:v>
                </c:pt>
                <c:pt idx="16">
                  <c:v>341.406249999999</c:v>
                </c:pt>
                <c:pt idx="17">
                  <c:v>114.84375</c:v>
                </c:pt>
                <c:pt idx="18">
                  <c:v>-369.53125</c:v>
                </c:pt>
                <c:pt idx="19">
                  <c:v>541.406249999999</c:v>
                </c:pt>
                <c:pt idx="20">
                  <c:v>-183.593749999999</c:v>
                </c:pt>
                <c:pt idx="21">
                  <c:v>-752.343749999999</c:v>
                </c:pt>
                <c:pt idx="22">
                  <c:v>600.781249999999</c:v>
                </c:pt>
                <c:pt idx="23">
                  <c:v>-83.5937500000001</c:v>
                </c:pt>
                <c:pt idx="24">
                  <c:v>-461.71875</c:v>
                </c:pt>
                <c:pt idx="25">
                  <c:v>441.40625</c:v>
                </c:pt>
                <c:pt idx="26">
                  <c:v>533.59375</c:v>
                </c:pt>
                <c:pt idx="27">
                  <c:v>-110.15625</c:v>
                </c:pt>
                <c:pt idx="28">
                  <c:v>8.59374999999997</c:v>
                </c:pt>
                <c:pt idx="29">
                  <c:v>50.78125</c:v>
                </c:pt>
                <c:pt idx="30">
                  <c:v>433.593749999999</c:v>
                </c:pt>
                <c:pt idx="31">
                  <c:v>-660.156249999999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8beb9-b0c3-4dfd-9318-ac9433c1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57090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678045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70" zoomScaleNormal="70" workbookViewId="0">
      <selection activeCell="D43" sqref="D43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ht="14.25" spans="1:22">
      <c r="A1" s="48" t="s">
        <v>0</v>
      </c>
      <c r="B1" s="48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</row>
    <row r="2" spans="1:22">
      <c r="A2" s="28" t="s">
        <v>22</v>
      </c>
      <c r="B2" s="29">
        <v>-350</v>
      </c>
      <c r="C2" s="50">
        <v>1</v>
      </c>
      <c r="D2" s="50">
        <v>0</v>
      </c>
      <c r="E2" s="50">
        <v>1</v>
      </c>
      <c r="F2" s="50">
        <v>0</v>
      </c>
      <c r="G2" s="50">
        <v>0</v>
      </c>
      <c r="H2" s="50">
        <v>1</v>
      </c>
      <c r="I2" s="50">
        <v>0</v>
      </c>
      <c r="J2" s="50">
        <v>0</v>
      </c>
      <c r="K2" s="50">
        <v>0</v>
      </c>
      <c r="L2" s="50">
        <v>0</v>
      </c>
      <c r="M2" s="50">
        <v>1</v>
      </c>
      <c r="N2" s="50">
        <v>0</v>
      </c>
      <c r="O2" s="50">
        <v>1</v>
      </c>
      <c r="P2" s="50">
        <v>1</v>
      </c>
      <c r="Q2" s="50">
        <v>1</v>
      </c>
      <c r="R2" s="50">
        <v>1</v>
      </c>
      <c r="S2" s="50">
        <v>0</v>
      </c>
      <c r="T2" s="50">
        <v>0</v>
      </c>
      <c r="U2" s="50">
        <v>1</v>
      </c>
      <c r="V2" s="51">
        <v>11401</v>
      </c>
    </row>
    <row r="3" spans="1:22">
      <c r="A3" s="32" t="s">
        <v>23</v>
      </c>
      <c r="B3" s="2">
        <v>475</v>
      </c>
      <c r="C3" s="52">
        <v>1</v>
      </c>
      <c r="D3" s="52">
        <v>0</v>
      </c>
      <c r="E3" s="52">
        <v>1</v>
      </c>
      <c r="F3" s="52">
        <v>0</v>
      </c>
      <c r="G3" s="52">
        <v>0</v>
      </c>
      <c r="H3" s="52">
        <v>1</v>
      </c>
      <c r="I3" s="52">
        <v>1</v>
      </c>
      <c r="J3" s="52">
        <v>0</v>
      </c>
      <c r="K3" s="52">
        <v>0</v>
      </c>
      <c r="L3" s="52">
        <v>0</v>
      </c>
      <c r="M3" s="52">
        <v>0</v>
      </c>
      <c r="N3" s="52">
        <v>1</v>
      </c>
      <c r="O3" s="52">
        <v>1</v>
      </c>
      <c r="P3" s="52">
        <v>1</v>
      </c>
      <c r="Q3" s="52">
        <v>1</v>
      </c>
      <c r="R3" s="52">
        <v>0</v>
      </c>
      <c r="S3" s="52">
        <v>0</v>
      </c>
      <c r="T3" s="52">
        <v>0</v>
      </c>
      <c r="U3" s="52">
        <v>0</v>
      </c>
      <c r="V3" s="53">
        <v>11401</v>
      </c>
    </row>
    <row r="4" spans="1:22">
      <c r="A4" s="32" t="s">
        <v>24</v>
      </c>
      <c r="B4" s="2">
        <v>-750</v>
      </c>
      <c r="C4" s="52">
        <v>1</v>
      </c>
      <c r="D4" s="52">
        <v>1</v>
      </c>
      <c r="E4" s="52">
        <v>0</v>
      </c>
      <c r="F4" s="52">
        <v>1</v>
      </c>
      <c r="G4" s="52">
        <v>0</v>
      </c>
      <c r="H4" s="52">
        <v>1</v>
      </c>
      <c r="I4" s="52">
        <v>1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52">
        <v>0</v>
      </c>
      <c r="P4" s="52">
        <v>0</v>
      </c>
      <c r="Q4" s="52">
        <v>1</v>
      </c>
      <c r="R4" s="52">
        <v>1</v>
      </c>
      <c r="S4" s="52">
        <v>1</v>
      </c>
      <c r="T4" s="52">
        <v>0</v>
      </c>
      <c r="U4" s="52">
        <v>1</v>
      </c>
      <c r="V4" s="53">
        <v>10901</v>
      </c>
    </row>
    <row r="5" spans="1:22">
      <c r="A5" s="32" t="s">
        <v>25</v>
      </c>
      <c r="B5" s="2">
        <v>-25</v>
      </c>
      <c r="C5" s="52">
        <v>1</v>
      </c>
      <c r="D5" s="52">
        <v>0</v>
      </c>
      <c r="E5" s="52">
        <v>0</v>
      </c>
      <c r="F5" s="52">
        <v>0</v>
      </c>
      <c r="G5" s="52">
        <v>0</v>
      </c>
      <c r="H5" s="52">
        <v>1</v>
      </c>
      <c r="I5" s="52">
        <v>1</v>
      </c>
      <c r="J5" s="52">
        <v>0</v>
      </c>
      <c r="K5" s="52">
        <v>0</v>
      </c>
      <c r="L5" s="52">
        <v>0</v>
      </c>
      <c r="M5" s="52">
        <v>1</v>
      </c>
      <c r="N5" s="52">
        <v>0</v>
      </c>
      <c r="O5" s="52">
        <v>1</v>
      </c>
      <c r="P5" s="52">
        <v>1</v>
      </c>
      <c r="Q5" s="52">
        <v>1</v>
      </c>
      <c r="R5" s="52">
        <v>1</v>
      </c>
      <c r="S5" s="52">
        <v>0</v>
      </c>
      <c r="T5" s="52">
        <v>1</v>
      </c>
      <c r="U5" s="52">
        <v>0</v>
      </c>
      <c r="V5" s="53">
        <v>9901</v>
      </c>
    </row>
    <row r="6" spans="1:22">
      <c r="A6" s="32" t="s">
        <v>26</v>
      </c>
      <c r="B6" s="2">
        <v>675</v>
      </c>
      <c r="C6" s="52">
        <v>1</v>
      </c>
      <c r="D6" s="52">
        <v>1</v>
      </c>
      <c r="E6" s="52">
        <v>1</v>
      </c>
      <c r="F6" s="52">
        <v>0</v>
      </c>
      <c r="G6" s="52">
        <v>1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1</v>
      </c>
      <c r="P6" s="52">
        <v>1</v>
      </c>
      <c r="Q6" s="52">
        <v>1</v>
      </c>
      <c r="R6" s="52">
        <v>1</v>
      </c>
      <c r="S6" s="52">
        <v>0</v>
      </c>
      <c r="T6" s="52">
        <v>1</v>
      </c>
      <c r="U6" s="52">
        <v>0</v>
      </c>
      <c r="V6" s="53">
        <v>14401</v>
      </c>
    </row>
    <row r="7" spans="1:22">
      <c r="A7" s="32" t="s">
        <v>27</v>
      </c>
      <c r="B7" s="2">
        <v>675</v>
      </c>
      <c r="C7" s="52">
        <v>1</v>
      </c>
      <c r="D7" s="52">
        <v>0</v>
      </c>
      <c r="E7" s="52">
        <v>0</v>
      </c>
      <c r="F7" s="52">
        <v>1</v>
      </c>
      <c r="G7" s="52">
        <v>1</v>
      </c>
      <c r="H7" s="52">
        <v>1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1</v>
      </c>
      <c r="P7" s="52">
        <v>0</v>
      </c>
      <c r="Q7" s="52">
        <v>1</v>
      </c>
      <c r="R7" s="52">
        <v>1</v>
      </c>
      <c r="S7" s="52">
        <v>1</v>
      </c>
      <c r="T7" s="52">
        <v>1</v>
      </c>
      <c r="U7" s="52">
        <v>0</v>
      </c>
      <c r="V7" s="53">
        <v>12901</v>
      </c>
    </row>
    <row r="8" spans="1:22">
      <c r="A8" s="32" t="s">
        <v>28</v>
      </c>
      <c r="B8" s="2">
        <v>625</v>
      </c>
      <c r="C8" s="52">
        <v>1</v>
      </c>
      <c r="D8" s="52">
        <v>0</v>
      </c>
      <c r="E8" s="52">
        <v>0</v>
      </c>
      <c r="F8" s="52">
        <v>0</v>
      </c>
      <c r="G8" s="52">
        <v>1</v>
      </c>
      <c r="H8" s="52">
        <v>0</v>
      </c>
      <c r="I8" s="52">
        <v>1</v>
      </c>
      <c r="J8" s="52">
        <v>0</v>
      </c>
      <c r="K8" s="52">
        <v>0</v>
      </c>
      <c r="L8" s="52">
        <v>0</v>
      </c>
      <c r="M8" s="52">
        <v>1</v>
      </c>
      <c r="N8" s="52">
        <v>1</v>
      </c>
      <c r="O8" s="52">
        <v>1</v>
      </c>
      <c r="P8" s="52">
        <v>0</v>
      </c>
      <c r="Q8" s="52">
        <v>1</v>
      </c>
      <c r="R8" s="52">
        <v>1</v>
      </c>
      <c r="S8" s="52">
        <v>0</v>
      </c>
      <c r="T8" s="52">
        <v>1</v>
      </c>
      <c r="U8" s="52">
        <v>0</v>
      </c>
      <c r="V8" s="53">
        <v>12401</v>
      </c>
    </row>
    <row r="9" spans="1:22">
      <c r="A9" s="32" t="s">
        <v>29</v>
      </c>
      <c r="B9" s="2">
        <v>125</v>
      </c>
      <c r="C9" s="52">
        <v>1</v>
      </c>
      <c r="D9" s="52">
        <v>0</v>
      </c>
      <c r="E9" s="52">
        <v>0</v>
      </c>
      <c r="F9" s="52">
        <v>1</v>
      </c>
      <c r="G9" s="52">
        <v>1</v>
      </c>
      <c r="H9" s="52">
        <v>0</v>
      </c>
      <c r="I9" s="52">
        <v>1</v>
      </c>
      <c r="J9" s="52">
        <v>0</v>
      </c>
      <c r="K9" s="52">
        <v>0</v>
      </c>
      <c r="L9" s="52">
        <v>0</v>
      </c>
      <c r="M9" s="52">
        <v>1</v>
      </c>
      <c r="N9" s="52">
        <v>1</v>
      </c>
      <c r="O9" s="52">
        <v>0</v>
      </c>
      <c r="P9" s="52">
        <v>1</v>
      </c>
      <c r="Q9" s="52">
        <v>0</v>
      </c>
      <c r="R9" s="52">
        <v>0</v>
      </c>
      <c r="S9" s="52">
        <v>1</v>
      </c>
      <c r="T9" s="52">
        <v>0</v>
      </c>
      <c r="U9" s="52">
        <v>1</v>
      </c>
      <c r="V9" s="53">
        <v>13401</v>
      </c>
    </row>
    <row r="10" spans="1:22">
      <c r="A10" s="32" t="s">
        <v>30</v>
      </c>
      <c r="B10" s="2">
        <v>475</v>
      </c>
      <c r="C10" s="52">
        <v>1</v>
      </c>
      <c r="D10" s="52">
        <v>1</v>
      </c>
      <c r="E10" s="52">
        <v>0</v>
      </c>
      <c r="F10" s="52">
        <v>0</v>
      </c>
      <c r="G10" s="52">
        <v>0</v>
      </c>
      <c r="H10" s="52">
        <v>1</v>
      </c>
      <c r="I10" s="52">
        <v>1</v>
      </c>
      <c r="J10" s="52">
        <v>0</v>
      </c>
      <c r="K10" s="52">
        <v>0</v>
      </c>
      <c r="L10" s="52">
        <v>0</v>
      </c>
      <c r="M10" s="52">
        <v>1</v>
      </c>
      <c r="N10" s="52">
        <v>1</v>
      </c>
      <c r="O10" s="52">
        <v>1</v>
      </c>
      <c r="P10" s="52">
        <v>0</v>
      </c>
      <c r="Q10" s="52">
        <v>1</v>
      </c>
      <c r="R10" s="52">
        <v>0</v>
      </c>
      <c r="S10" s="52">
        <v>0</v>
      </c>
      <c r="T10" s="52">
        <v>1</v>
      </c>
      <c r="U10" s="52">
        <v>0</v>
      </c>
      <c r="V10" s="53">
        <v>11901</v>
      </c>
    </row>
    <row r="11" spans="1:22">
      <c r="A11" s="32" t="s">
        <v>31</v>
      </c>
      <c r="B11" s="2">
        <v>-425</v>
      </c>
      <c r="C11" s="52">
        <v>1</v>
      </c>
      <c r="D11" s="52">
        <v>0</v>
      </c>
      <c r="E11" s="52">
        <v>1</v>
      </c>
      <c r="F11" s="52">
        <v>1</v>
      </c>
      <c r="G11" s="52">
        <v>0</v>
      </c>
      <c r="H11" s="52">
        <v>1</v>
      </c>
      <c r="I11" s="52">
        <v>1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1</v>
      </c>
      <c r="P11" s="52">
        <v>0</v>
      </c>
      <c r="Q11" s="52">
        <v>1</v>
      </c>
      <c r="R11" s="52">
        <v>0</v>
      </c>
      <c r="S11" s="52">
        <v>0</v>
      </c>
      <c r="T11" s="52">
        <v>1</v>
      </c>
      <c r="U11" s="52">
        <v>1</v>
      </c>
      <c r="V11" s="53">
        <v>11901</v>
      </c>
    </row>
    <row r="12" spans="1:22">
      <c r="A12" s="32" t="s">
        <v>32</v>
      </c>
      <c r="B12" s="2">
        <v>850</v>
      </c>
      <c r="C12" s="52">
        <v>1</v>
      </c>
      <c r="D12" s="52">
        <v>0</v>
      </c>
      <c r="E12" s="52">
        <v>0</v>
      </c>
      <c r="F12" s="52">
        <v>1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0</v>
      </c>
      <c r="V12" s="53">
        <v>8401</v>
      </c>
    </row>
    <row r="13" spans="1:22">
      <c r="A13" s="32" t="s">
        <v>33</v>
      </c>
      <c r="B13" s="2">
        <v>-200</v>
      </c>
      <c r="C13" s="52">
        <v>1</v>
      </c>
      <c r="D13" s="52">
        <v>0</v>
      </c>
      <c r="E13" s="52">
        <v>0</v>
      </c>
      <c r="F13" s="52">
        <v>1</v>
      </c>
      <c r="G13" s="52">
        <v>0</v>
      </c>
      <c r="H13" s="52">
        <v>0</v>
      </c>
      <c r="I13" s="52">
        <v>1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1</v>
      </c>
      <c r="P13" s="52">
        <v>0</v>
      </c>
      <c r="Q13" s="52">
        <v>1</v>
      </c>
      <c r="R13" s="52">
        <v>1</v>
      </c>
      <c r="S13" s="52">
        <v>1</v>
      </c>
      <c r="T13" s="52">
        <v>1</v>
      </c>
      <c r="U13" s="52">
        <v>1</v>
      </c>
      <c r="V13" s="53">
        <v>9401</v>
      </c>
    </row>
    <row r="14" spans="1:22">
      <c r="A14" s="32" t="s">
        <v>34</v>
      </c>
      <c r="B14" s="2">
        <v>625</v>
      </c>
      <c r="C14" s="52">
        <v>1</v>
      </c>
      <c r="D14" s="52">
        <v>1</v>
      </c>
      <c r="E14" s="52">
        <v>1</v>
      </c>
      <c r="F14" s="52">
        <v>1</v>
      </c>
      <c r="G14" s="52">
        <v>0</v>
      </c>
      <c r="H14" s="52">
        <v>0</v>
      </c>
      <c r="I14" s="52">
        <v>1</v>
      </c>
      <c r="J14" s="52">
        <v>0</v>
      </c>
      <c r="K14" s="52">
        <v>0</v>
      </c>
      <c r="L14" s="52">
        <v>0</v>
      </c>
      <c r="M14" s="52">
        <v>1</v>
      </c>
      <c r="N14" s="52">
        <v>1</v>
      </c>
      <c r="O14" s="52">
        <v>0</v>
      </c>
      <c r="P14" s="52">
        <v>1</v>
      </c>
      <c r="Q14" s="52">
        <v>1</v>
      </c>
      <c r="R14" s="52">
        <v>1</v>
      </c>
      <c r="S14" s="52">
        <v>0</v>
      </c>
      <c r="T14" s="52">
        <v>0</v>
      </c>
      <c r="U14" s="52">
        <v>0</v>
      </c>
      <c r="V14" s="53">
        <v>13401</v>
      </c>
    </row>
    <row r="15" spans="1:22">
      <c r="A15" s="32" t="s">
        <v>35</v>
      </c>
      <c r="B15" s="2">
        <v>175</v>
      </c>
      <c r="C15" s="52">
        <v>1</v>
      </c>
      <c r="D15" s="52">
        <v>1</v>
      </c>
      <c r="E15" s="52">
        <v>1</v>
      </c>
      <c r="F15" s="52">
        <v>1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1</v>
      </c>
      <c r="O15" s="52">
        <v>1</v>
      </c>
      <c r="P15" s="52">
        <v>0</v>
      </c>
      <c r="Q15" s="52">
        <v>0</v>
      </c>
      <c r="R15" s="52">
        <v>1</v>
      </c>
      <c r="S15" s="52">
        <v>0</v>
      </c>
      <c r="T15" s="52">
        <v>0</v>
      </c>
      <c r="U15" s="52">
        <v>1</v>
      </c>
      <c r="V15" s="53">
        <v>12401</v>
      </c>
    </row>
    <row r="16" spans="1:22">
      <c r="A16" s="32" t="s">
        <v>36</v>
      </c>
      <c r="B16" s="2">
        <v>375</v>
      </c>
      <c r="C16" s="52">
        <v>1</v>
      </c>
      <c r="D16" s="52">
        <v>0</v>
      </c>
      <c r="E16" s="52">
        <v>0</v>
      </c>
      <c r="F16" s="52">
        <v>1</v>
      </c>
      <c r="G16" s="52">
        <v>1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1</v>
      </c>
      <c r="N16" s="52">
        <v>1</v>
      </c>
      <c r="O16" s="52">
        <v>1</v>
      </c>
      <c r="P16" s="52">
        <v>0</v>
      </c>
      <c r="Q16" s="52">
        <v>1</v>
      </c>
      <c r="R16" s="52">
        <v>1</v>
      </c>
      <c r="S16" s="52">
        <v>0</v>
      </c>
      <c r="T16" s="52">
        <v>0</v>
      </c>
      <c r="U16" s="52">
        <v>0</v>
      </c>
      <c r="V16" s="53">
        <v>10901</v>
      </c>
    </row>
    <row r="17" ht="14.25" spans="1:22">
      <c r="A17" s="54" t="s">
        <v>37</v>
      </c>
      <c r="B17" s="48">
        <v>-25</v>
      </c>
      <c r="C17" s="49">
        <v>1</v>
      </c>
      <c r="D17" s="49">
        <v>1</v>
      </c>
      <c r="E17" s="49">
        <v>0</v>
      </c>
      <c r="F17" s="49">
        <v>0</v>
      </c>
      <c r="G17" s="49">
        <v>0</v>
      </c>
      <c r="H17" s="49">
        <v>0</v>
      </c>
      <c r="I17" s="49">
        <v>1</v>
      </c>
      <c r="J17" s="49">
        <v>0</v>
      </c>
      <c r="K17" s="49">
        <v>0</v>
      </c>
      <c r="L17" s="49">
        <v>0</v>
      </c>
      <c r="M17" s="49">
        <v>1</v>
      </c>
      <c r="N17" s="49">
        <v>1</v>
      </c>
      <c r="O17" s="49">
        <v>0</v>
      </c>
      <c r="P17" s="49">
        <v>1</v>
      </c>
      <c r="Q17" s="49">
        <v>1</v>
      </c>
      <c r="R17" s="49">
        <v>0</v>
      </c>
      <c r="S17" s="49">
        <v>0</v>
      </c>
      <c r="T17" s="49">
        <v>1</v>
      </c>
      <c r="U17" s="49">
        <v>1</v>
      </c>
      <c r="V17" s="55">
        <v>10901</v>
      </c>
    </row>
    <row r="18" spans="1:22">
      <c r="A18" s="28" t="s">
        <v>22</v>
      </c>
      <c r="B18" s="29">
        <v>500</v>
      </c>
      <c r="C18" s="56">
        <v>1</v>
      </c>
      <c r="D18" s="56">
        <v>0</v>
      </c>
      <c r="E18" s="56">
        <v>0</v>
      </c>
      <c r="F18" s="56">
        <v>1</v>
      </c>
      <c r="G18" s="56">
        <v>0</v>
      </c>
      <c r="H18" s="56">
        <v>1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1</v>
      </c>
      <c r="O18" s="56">
        <v>0</v>
      </c>
      <c r="P18" s="56">
        <v>1</v>
      </c>
      <c r="Q18" s="56">
        <v>1</v>
      </c>
      <c r="R18" s="56">
        <v>1</v>
      </c>
      <c r="S18" s="56">
        <v>1</v>
      </c>
      <c r="T18" s="56">
        <v>0</v>
      </c>
      <c r="U18" s="56">
        <v>0</v>
      </c>
      <c r="V18" s="57">
        <v>9901</v>
      </c>
    </row>
    <row r="19" spans="1:22">
      <c r="A19" s="32" t="s">
        <v>23</v>
      </c>
      <c r="B19" s="2">
        <v>75</v>
      </c>
      <c r="C19" s="58">
        <v>1</v>
      </c>
      <c r="D19" s="58">
        <v>0</v>
      </c>
      <c r="E19" s="58">
        <v>0</v>
      </c>
      <c r="F19" s="58">
        <v>0</v>
      </c>
      <c r="G19" s="58">
        <v>1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1</v>
      </c>
      <c r="N19" s="58">
        <v>0</v>
      </c>
      <c r="O19" s="58">
        <v>1</v>
      </c>
      <c r="P19" s="58">
        <v>1</v>
      </c>
      <c r="Q19" s="58">
        <v>1</v>
      </c>
      <c r="R19" s="58">
        <v>1</v>
      </c>
      <c r="S19" s="58">
        <v>1</v>
      </c>
      <c r="T19" s="58">
        <v>1</v>
      </c>
      <c r="U19" s="58">
        <v>1</v>
      </c>
      <c r="V19" s="59">
        <v>12901</v>
      </c>
    </row>
    <row r="20" spans="1:22">
      <c r="A20" s="32" t="s">
        <v>24</v>
      </c>
      <c r="B20" s="2">
        <v>-425</v>
      </c>
      <c r="C20" s="58">
        <v>1</v>
      </c>
      <c r="D20" s="58">
        <v>0</v>
      </c>
      <c r="E20" s="58">
        <v>0</v>
      </c>
      <c r="F20" s="58">
        <v>1</v>
      </c>
      <c r="G20" s="58">
        <v>0</v>
      </c>
      <c r="H20" s="58">
        <v>1</v>
      </c>
      <c r="I20" s="58">
        <v>0</v>
      </c>
      <c r="J20" s="58">
        <v>0</v>
      </c>
      <c r="K20" s="58">
        <v>0</v>
      </c>
      <c r="L20" s="58">
        <v>0</v>
      </c>
      <c r="M20" s="58">
        <v>1</v>
      </c>
      <c r="N20" s="58">
        <v>0</v>
      </c>
      <c r="O20" s="58">
        <v>0</v>
      </c>
      <c r="P20" s="58">
        <v>1</v>
      </c>
      <c r="Q20" s="58">
        <v>0</v>
      </c>
      <c r="R20" s="58">
        <v>1</v>
      </c>
      <c r="S20" s="58">
        <v>0</v>
      </c>
      <c r="T20" s="58">
        <v>1</v>
      </c>
      <c r="U20" s="58">
        <v>1</v>
      </c>
      <c r="V20" s="59">
        <v>9901</v>
      </c>
    </row>
    <row r="21" spans="1:22">
      <c r="A21" s="32" t="s">
        <v>25</v>
      </c>
      <c r="B21" s="2">
        <v>425</v>
      </c>
      <c r="C21" s="58">
        <v>1</v>
      </c>
      <c r="D21" s="58">
        <v>1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1</v>
      </c>
      <c r="N21" s="58">
        <v>0</v>
      </c>
      <c r="O21" s="58">
        <v>1</v>
      </c>
      <c r="P21" s="58">
        <v>1</v>
      </c>
      <c r="Q21" s="58">
        <v>1</v>
      </c>
      <c r="R21" s="58">
        <v>1</v>
      </c>
      <c r="S21" s="58">
        <v>1</v>
      </c>
      <c r="T21" s="58">
        <v>0</v>
      </c>
      <c r="U21" s="58">
        <v>0</v>
      </c>
      <c r="V21" s="59">
        <v>8901</v>
      </c>
    </row>
    <row r="22" spans="1:22">
      <c r="A22" s="32" t="s">
        <v>26</v>
      </c>
      <c r="B22" s="2">
        <v>-475</v>
      </c>
      <c r="C22" s="58">
        <v>1</v>
      </c>
      <c r="D22" s="58">
        <v>1</v>
      </c>
      <c r="E22" s="58">
        <v>0</v>
      </c>
      <c r="F22" s="58">
        <v>1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0</v>
      </c>
      <c r="M22" s="58">
        <v>1</v>
      </c>
      <c r="N22" s="58">
        <v>0</v>
      </c>
      <c r="O22" s="58">
        <v>0</v>
      </c>
      <c r="P22" s="58">
        <v>1</v>
      </c>
      <c r="Q22" s="58">
        <v>1</v>
      </c>
      <c r="R22" s="58">
        <v>1</v>
      </c>
      <c r="S22" s="58">
        <v>0</v>
      </c>
      <c r="T22" s="58">
        <v>0</v>
      </c>
      <c r="U22" s="58">
        <v>1</v>
      </c>
      <c r="V22" s="59">
        <v>9401</v>
      </c>
    </row>
    <row r="23" spans="1:22">
      <c r="A23" s="32" t="s">
        <v>27</v>
      </c>
      <c r="B23" s="2">
        <v>-400</v>
      </c>
      <c r="C23" s="58">
        <v>1</v>
      </c>
      <c r="D23" s="58">
        <v>0</v>
      </c>
      <c r="E23" s="58">
        <v>0</v>
      </c>
      <c r="F23" s="58">
        <v>1</v>
      </c>
      <c r="G23" s="58">
        <v>0</v>
      </c>
      <c r="H23" s="58">
        <v>1</v>
      </c>
      <c r="I23" s="58">
        <v>1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1</v>
      </c>
      <c r="P23" s="58">
        <v>1</v>
      </c>
      <c r="Q23" s="58">
        <v>1</v>
      </c>
      <c r="R23" s="58">
        <v>0</v>
      </c>
      <c r="S23" s="58">
        <v>1</v>
      </c>
      <c r="T23" s="58">
        <v>0</v>
      </c>
      <c r="U23" s="58">
        <v>1</v>
      </c>
      <c r="V23" s="59">
        <v>9901</v>
      </c>
    </row>
    <row r="24" ht="14.25" spans="1:22">
      <c r="A24" s="54" t="s">
        <v>28</v>
      </c>
      <c r="B24" s="48">
        <v>725</v>
      </c>
      <c r="C24" s="60">
        <v>1</v>
      </c>
      <c r="D24" s="60">
        <v>1</v>
      </c>
      <c r="E24" s="60">
        <v>1</v>
      </c>
      <c r="F24" s="60">
        <v>1</v>
      </c>
      <c r="G24" s="60">
        <v>1</v>
      </c>
      <c r="H24" s="60">
        <v>1</v>
      </c>
      <c r="I24" s="60">
        <v>0</v>
      </c>
      <c r="J24" s="60">
        <v>0</v>
      </c>
      <c r="K24" s="60">
        <v>0</v>
      </c>
      <c r="L24" s="60">
        <v>0</v>
      </c>
      <c r="M24" s="60">
        <v>1</v>
      </c>
      <c r="N24" s="60">
        <v>1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1">
        <v>15901</v>
      </c>
    </row>
    <row r="25" spans="1:22">
      <c r="A25" s="28" t="s">
        <v>22</v>
      </c>
      <c r="B25" s="29">
        <v>-50</v>
      </c>
      <c r="C25" s="56">
        <v>1</v>
      </c>
      <c r="D25" s="56">
        <v>0</v>
      </c>
      <c r="E25" s="56">
        <v>0</v>
      </c>
      <c r="F25" s="56">
        <v>1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1</v>
      </c>
      <c r="N25" s="56">
        <v>0</v>
      </c>
      <c r="O25" s="56">
        <v>1</v>
      </c>
      <c r="P25" s="56">
        <v>1</v>
      </c>
      <c r="Q25" s="56">
        <v>0</v>
      </c>
      <c r="R25" s="56">
        <v>1</v>
      </c>
      <c r="S25" s="56">
        <v>1</v>
      </c>
      <c r="T25" s="56">
        <v>0</v>
      </c>
      <c r="U25" s="56">
        <v>1</v>
      </c>
      <c r="V25" s="57">
        <v>8901</v>
      </c>
    </row>
    <row r="26" spans="1:22">
      <c r="A26" s="32" t="s">
        <v>23</v>
      </c>
      <c r="B26" s="2">
        <v>-450</v>
      </c>
      <c r="C26" s="58">
        <v>1</v>
      </c>
      <c r="D26" s="58">
        <v>1</v>
      </c>
      <c r="E26" s="58">
        <v>0</v>
      </c>
      <c r="F26" s="58">
        <v>0</v>
      </c>
      <c r="G26" s="58">
        <v>0</v>
      </c>
      <c r="H26" s="58">
        <v>1</v>
      </c>
      <c r="I26" s="58">
        <v>0</v>
      </c>
      <c r="J26" s="58">
        <v>0</v>
      </c>
      <c r="K26" s="58">
        <v>0</v>
      </c>
      <c r="L26" s="58">
        <v>0</v>
      </c>
      <c r="M26" s="58">
        <v>1</v>
      </c>
      <c r="N26" s="58">
        <v>0</v>
      </c>
      <c r="O26" s="58">
        <v>0</v>
      </c>
      <c r="P26" s="58">
        <v>1</v>
      </c>
      <c r="Q26" s="58">
        <v>1</v>
      </c>
      <c r="R26" s="58">
        <v>1</v>
      </c>
      <c r="S26" s="58">
        <v>0</v>
      </c>
      <c r="T26" s="58">
        <v>0</v>
      </c>
      <c r="U26" s="58">
        <v>1</v>
      </c>
      <c r="V26" s="59">
        <v>9401</v>
      </c>
    </row>
    <row r="27" spans="1:22">
      <c r="A27" s="32" t="s">
        <v>24</v>
      </c>
      <c r="B27" s="2">
        <v>425</v>
      </c>
      <c r="C27" s="58">
        <v>1</v>
      </c>
      <c r="D27" s="58">
        <v>0</v>
      </c>
      <c r="E27" s="58">
        <v>0</v>
      </c>
      <c r="F27" s="58">
        <v>1</v>
      </c>
      <c r="G27" s="58">
        <v>0</v>
      </c>
      <c r="H27" s="58">
        <v>0</v>
      </c>
      <c r="I27" s="58">
        <v>1</v>
      </c>
      <c r="J27" s="58">
        <v>0</v>
      </c>
      <c r="K27" s="58">
        <v>0</v>
      </c>
      <c r="L27" s="58">
        <v>0</v>
      </c>
      <c r="M27" s="58">
        <v>1</v>
      </c>
      <c r="N27" s="58">
        <v>1</v>
      </c>
      <c r="O27" s="58">
        <v>0</v>
      </c>
      <c r="P27" s="58">
        <v>1</v>
      </c>
      <c r="Q27" s="58">
        <v>1</v>
      </c>
      <c r="R27" s="58">
        <v>0</v>
      </c>
      <c r="S27" s="58">
        <v>1</v>
      </c>
      <c r="T27" s="58">
        <v>0</v>
      </c>
      <c r="U27" s="58">
        <v>0</v>
      </c>
      <c r="V27" s="59">
        <v>8901</v>
      </c>
    </row>
    <row r="28" spans="1:22">
      <c r="A28" s="32" t="s">
        <v>25</v>
      </c>
      <c r="B28" s="2">
        <v>725</v>
      </c>
      <c r="C28" s="58">
        <v>1</v>
      </c>
      <c r="D28" s="58">
        <v>1</v>
      </c>
      <c r="E28" s="58">
        <v>0</v>
      </c>
      <c r="F28" s="58">
        <v>1</v>
      </c>
      <c r="G28" s="58">
        <v>0</v>
      </c>
      <c r="H28" s="58">
        <v>0</v>
      </c>
      <c r="I28" s="58">
        <v>1</v>
      </c>
      <c r="J28" s="58">
        <v>0</v>
      </c>
      <c r="K28" s="58">
        <v>0</v>
      </c>
      <c r="L28" s="58">
        <v>0</v>
      </c>
      <c r="M28" s="58">
        <v>1</v>
      </c>
      <c r="N28" s="58">
        <v>0</v>
      </c>
      <c r="O28" s="58">
        <v>0</v>
      </c>
      <c r="P28" s="58">
        <v>1</v>
      </c>
      <c r="Q28" s="58">
        <v>1</v>
      </c>
      <c r="R28" s="58">
        <v>0</v>
      </c>
      <c r="S28" s="58">
        <v>0</v>
      </c>
      <c r="T28" s="58">
        <v>1</v>
      </c>
      <c r="U28" s="58">
        <v>0</v>
      </c>
      <c r="V28" s="59">
        <v>8901</v>
      </c>
    </row>
    <row r="29" ht="14.25" spans="1:22">
      <c r="A29" s="54" t="s">
        <v>26</v>
      </c>
      <c r="B29" s="48">
        <v>-25</v>
      </c>
      <c r="C29" s="60">
        <v>1</v>
      </c>
      <c r="D29" s="60">
        <v>1</v>
      </c>
      <c r="E29" s="60">
        <v>0</v>
      </c>
      <c r="F29" s="60">
        <v>0</v>
      </c>
      <c r="G29" s="60">
        <v>0</v>
      </c>
      <c r="H29" s="60">
        <v>1</v>
      </c>
      <c r="I29" s="60">
        <v>0</v>
      </c>
      <c r="J29" s="60">
        <v>0</v>
      </c>
      <c r="K29" s="60">
        <v>0</v>
      </c>
      <c r="L29" s="60">
        <v>0</v>
      </c>
      <c r="M29" s="60">
        <v>1</v>
      </c>
      <c r="N29" s="60">
        <v>0</v>
      </c>
      <c r="O29" s="60">
        <v>0</v>
      </c>
      <c r="P29" s="60">
        <v>1</v>
      </c>
      <c r="Q29" s="60">
        <v>0</v>
      </c>
      <c r="R29" s="60">
        <v>1</v>
      </c>
      <c r="S29" s="60">
        <v>1</v>
      </c>
      <c r="T29" s="60">
        <v>1</v>
      </c>
      <c r="U29" s="60">
        <v>1</v>
      </c>
      <c r="V29" s="61">
        <v>12401</v>
      </c>
    </row>
    <row r="30" spans="1:22">
      <c r="A30" s="28" t="s">
        <v>22</v>
      </c>
      <c r="B30" s="29">
        <v>100</v>
      </c>
      <c r="C30" s="56">
        <v>1</v>
      </c>
      <c r="D30" s="56">
        <v>1</v>
      </c>
      <c r="E30" s="56">
        <v>0</v>
      </c>
      <c r="F30" s="56">
        <v>1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1</v>
      </c>
      <c r="O30" s="56">
        <v>0</v>
      </c>
      <c r="P30" s="56">
        <v>1</v>
      </c>
      <c r="Q30" s="56">
        <v>1</v>
      </c>
      <c r="R30" s="56">
        <v>0</v>
      </c>
      <c r="S30" s="56">
        <v>0</v>
      </c>
      <c r="T30" s="56">
        <v>1</v>
      </c>
      <c r="U30" s="56">
        <v>1</v>
      </c>
      <c r="V30" s="57">
        <v>9901</v>
      </c>
    </row>
    <row r="31" ht="14.25" spans="1:22">
      <c r="A31" s="54" t="s">
        <v>23</v>
      </c>
      <c r="B31" s="48">
        <v>-125</v>
      </c>
      <c r="C31" s="60">
        <v>1</v>
      </c>
      <c r="D31" s="60">
        <v>1</v>
      </c>
      <c r="E31" s="60">
        <v>0</v>
      </c>
      <c r="F31" s="60">
        <v>0</v>
      </c>
      <c r="G31" s="60">
        <v>0</v>
      </c>
      <c r="H31" s="60">
        <v>1</v>
      </c>
      <c r="I31" s="60">
        <v>1</v>
      </c>
      <c r="J31" s="60">
        <v>0</v>
      </c>
      <c r="K31" s="60">
        <v>0</v>
      </c>
      <c r="L31" s="60">
        <v>0</v>
      </c>
      <c r="M31" s="60">
        <v>1</v>
      </c>
      <c r="N31" s="60">
        <v>0</v>
      </c>
      <c r="O31" s="60">
        <v>1</v>
      </c>
      <c r="P31" s="60">
        <v>1</v>
      </c>
      <c r="Q31" s="60">
        <v>1</v>
      </c>
      <c r="R31" s="60">
        <v>0</v>
      </c>
      <c r="S31" s="60">
        <v>0</v>
      </c>
      <c r="T31" s="60">
        <v>0</v>
      </c>
      <c r="U31" s="60">
        <v>0</v>
      </c>
      <c r="V31" s="61">
        <v>9401</v>
      </c>
    </row>
    <row r="32" spans="1:22">
      <c r="A32" s="28" t="s">
        <v>22</v>
      </c>
      <c r="B32" s="29">
        <v>275</v>
      </c>
      <c r="C32" s="56">
        <v>1</v>
      </c>
      <c r="D32" s="56">
        <v>1</v>
      </c>
      <c r="E32" s="56">
        <v>0</v>
      </c>
      <c r="F32" s="56">
        <v>0</v>
      </c>
      <c r="G32" s="56">
        <v>0</v>
      </c>
      <c r="H32" s="56">
        <v>1</v>
      </c>
      <c r="I32" s="56">
        <v>0</v>
      </c>
      <c r="J32" s="56">
        <v>0</v>
      </c>
      <c r="K32" s="56">
        <v>0</v>
      </c>
      <c r="L32" s="56">
        <v>0</v>
      </c>
      <c r="M32" s="56">
        <v>1</v>
      </c>
      <c r="N32" s="56">
        <v>0</v>
      </c>
      <c r="O32" s="56">
        <v>1</v>
      </c>
      <c r="P32" s="56">
        <v>0</v>
      </c>
      <c r="Q32" s="56">
        <v>1</v>
      </c>
      <c r="R32" s="56">
        <v>1</v>
      </c>
      <c r="S32" s="56">
        <v>0</v>
      </c>
      <c r="T32" s="56">
        <v>1</v>
      </c>
      <c r="U32" s="56">
        <v>0</v>
      </c>
      <c r="V32" s="57">
        <v>9901</v>
      </c>
    </row>
    <row r="33" ht="14.25" spans="1:22">
      <c r="A33" s="35" t="s">
        <v>23</v>
      </c>
      <c r="B33" s="36">
        <v>-625</v>
      </c>
      <c r="C33" s="62">
        <v>1</v>
      </c>
      <c r="D33" s="62">
        <v>1</v>
      </c>
      <c r="E33" s="62">
        <v>0</v>
      </c>
      <c r="F33" s="62">
        <v>0</v>
      </c>
      <c r="G33" s="62">
        <v>0</v>
      </c>
      <c r="H33" s="62">
        <v>1</v>
      </c>
      <c r="I33" s="62">
        <v>1</v>
      </c>
      <c r="J33" s="62">
        <v>0</v>
      </c>
      <c r="K33" s="62">
        <v>0</v>
      </c>
      <c r="L33" s="62">
        <v>0</v>
      </c>
      <c r="M33" s="62">
        <v>1</v>
      </c>
      <c r="N33" s="62">
        <v>0</v>
      </c>
      <c r="O33" s="62">
        <v>0</v>
      </c>
      <c r="P33" s="62">
        <v>0</v>
      </c>
      <c r="Q33" s="62">
        <v>1</v>
      </c>
      <c r="R33" s="62">
        <v>0</v>
      </c>
      <c r="S33" s="62">
        <v>0</v>
      </c>
      <c r="T33" s="62">
        <v>1</v>
      </c>
      <c r="U33" s="62">
        <v>1</v>
      </c>
      <c r="V33" s="63">
        <v>9901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35"/>
  <sheetViews>
    <sheetView tabSelected="1" workbookViewId="0">
      <selection activeCell="B6" sqref="B6"/>
    </sheetView>
  </sheetViews>
  <sheetFormatPr defaultColWidth="9" defaultRowHeight="13.5"/>
  <cols>
    <col min="1" max="1" width="6.375" style="3" customWidth="1"/>
    <col min="2" max="2" width="5.375" style="5" customWidth="1"/>
    <col min="3" max="3" width="8.575" style="5" customWidth="1"/>
    <col min="4" max="4" width="8.8" style="5" customWidth="1"/>
    <col min="5" max="5" width="8.875" style="5" customWidth="1"/>
    <col min="6" max="6" width="16.125" style="5" customWidth="1"/>
    <col min="7" max="7" width="15.25" style="5" customWidth="1"/>
    <col min="8" max="9" width="10.875" style="5" customWidth="1"/>
    <col min="10" max="10" width="7" style="5" customWidth="1"/>
    <col min="11" max="11" width="5.125" style="5" hidden="1" customWidth="1"/>
    <col min="12" max="12" width="7" style="5" customWidth="1"/>
    <col min="13" max="13" width="9" style="3" hidden="1" customWidth="1"/>
    <col min="14" max="16384" width="9" style="5"/>
  </cols>
  <sheetData>
    <row r="1" ht="14.25" spans="1:13">
      <c r="A1" s="15" t="s">
        <v>0</v>
      </c>
      <c r="B1" s="16" t="s">
        <v>38</v>
      </c>
      <c r="C1" s="17" t="s">
        <v>39</v>
      </c>
      <c r="D1" s="17" t="s">
        <v>40</v>
      </c>
      <c r="E1" s="18" t="s">
        <v>41</v>
      </c>
      <c r="F1" s="18" t="s">
        <v>42</v>
      </c>
      <c r="G1" s="18" t="s">
        <v>43</v>
      </c>
      <c r="H1" s="18" t="s">
        <v>44</v>
      </c>
      <c r="I1" s="18" t="s">
        <v>45</v>
      </c>
      <c r="J1" s="18" t="s">
        <v>46</v>
      </c>
      <c r="K1" s="18"/>
      <c r="L1" s="19" t="s">
        <v>47</v>
      </c>
      <c r="M1" s="20"/>
    </row>
    <row r="2" ht="14.25" spans="1:13">
      <c r="A2" s="21" t="s">
        <v>48</v>
      </c>
      <c r="B2" s="22">
        <v>6000</v>
      </c>
      <c r="C2" s="23"/>
      <c r="D2" s="23"/>
      <c r="E2" s="24" t="s">
        <v>49</v>
      </c>
      <c r="F2" s="24" t="s">
        <v>49</v>
      </c>
      <c r="G2" s="24"/>
      <c r="H2" s="24" t="s">
        <v>49</v>
      </c>
      <c r="I2" s="24" t="s">
        <v>49</v>
      </c>
      <c r="J2" s="24" t="s">
        <v>49</v>
      </c>
      <c r="K2" s="25" t="s">
        <v>20</v>
      </c>
      <c r="L2" s="26" t="s">
        <v>49</v>
      </c>
      <c r="M2" s="27" t="s">
        <v>7</v>
      </c>
    </row>
    <row r="3" spans="1:13">
      <c r="A3" s="28" t="s">
        <v>22</v>
      </c>
      <c r="B3" s="29">
        <v>5475</v>
      </c>
      <c r="C3" s="29">
        <f>B3-B2</f>
        <v>-525</v>
      </c>
      <c r="D3" s="29">
        <v>0</v>
      </c>
      <c r="E3" s="30">
        <f>C3-75*(1-D3)</f>
        <v>-600</v>
      </c>
      <c r="F3" s="30">
        <f>E3+125*(H3+I3)</f>
        <v>-350</v>
      </c>
      <c r="G3" s="30">
        <f>E3+125*I3</f>
        <v>-600</v>
      </c>
      <c r="H3" s="30">
        <v>2</v>
      </c>
      <c r="I3" s="30"/>
      <c r="J3" s="30">
        <v>70</v>
      </c>
      <c r="K3" s="29">
        <v>1</v>
      </c>
      <c r="L3" s="31">
        <v>179</v>
      </c>
      <c r="M3" s="27">
        <v>1</v>
      </c>
    </row>
    <row r="4" spans="1:13">
      <c r="A4" s="32" t="s">
        <v>23</v>
      </c>
      <c r="B4" s="2">
        <v>5500</v>
      </c>
      <c r="C4" s="2">
        <f t="shared" ref="C4:C34" si="0">B4-B3</f>
        <v>25</v>
      </c>
      <c r="D4" s="2">
        <v>2</v>
      </c>
      <c r="E4" s="33">
        <f t="shared" ref="E4:E34" si="1">C4-75*(1-D4)</f>
        <v>100</v>
      </c>
      <c r="F4" s="33">
        <f t="shared" ref="F4:F34" si="2">E4+125*(H4+I4)</f>
        <v>475</v>
      </c>
      <c r="G4" s="33">
        <f t="shared" ref="G4:G34" si="3">E4+125*I4</f>
        <v>100</v>
      </c>
      <c r="H4" s="33">
        <v>3</v>
      </c>
      <c r="I4" s="33"/>
      <c r="J4" s="33">
        <v>0</v>
      </c>
      <c r="K4" s="2">
        <v>0</v>
      </c>
      <c r="L4" s="34">
        <v>162</v>
      </c>
      <c r="M4" s="27">
        <v>1</v>
      </c>
    </row>
    <row r="5" spans="1:13">
      <c r="A5" s="32" t="s">
        <v>24</v>
      </c>
      <c r="B5" s="2">
        <v>4700</v>
      </c>
      <c r="C5" s="2">
        <f t="shared" si="0"/>
        <v>-800</v>
      </c>
      <c r="D5" s="2">
        <v>0</v>
      </c>
      <c r="E5" s="33">
        <f t="shared" si="1"/>
        <v>-875</v>
      </c>
      <c r="F5" s="33">
        <f t="shared" si="2"/>
        <v>-750</v>
      </c>
      <c r="G5" s="33">
        <f t="shared" si="3"/>
        <v>-875</v>
      </c>
      <c r="H5" s="33">
        <v>1</v>
      </c>
      <c r="I5" s="33"/>
      <c r="J5" s="33">
        <v>85</v>
      </c>
      <c r="K5" s="2">
        <v>1</v>
      </c>
      <c r="L5" s="34">
        <v>171</v>
      </c>
      <c r="M5" s="27">
        <v>1</v>
      </c>
    </row>
    <row r="6" spans="1:13">
      <c r="A6" s="32" t="s">
        <v>25</v>
      </c>
      <c r="B6" s="2">
        <v>3975</v>
      </c>
      <c r="C6" s="2">
        <f t="shared" si="0"/>
        <v>-725</v>
      </c>
      <c r="D6" s="2">
        <v>2</v>
      </c>
      <c r="E6" s="33">
        <f t="shared" si="1"/>
        <v>-650</v>
      </c>
      <c r="F6" s="33">
        <f t="shared" si="2"/>
        <v>-25</v>
      </c>
      <c r="G6" s="33">
        <f t="shared" si="3"/>
        <v>-400</v>
      </c>
      <c r="H6" s="33">
        <v>3</v>
      </c>
      <c r="I6" s="33">
        <v>2</v>
      </c>
      <c r="J6" s="33">
        <v>0</v>
      </c>
      <c r="K6" s="2">
        <v>0</v>
      </c>
      <c r="L6" s="34">
        <v>221</v>
      </c>
      <c r="M6" s="27">
        <v>1</v>
      </c>
    </row>
    <row r="7" spans="1:13">
      <c r="A7" s="32" t="s">
        <v>26</v>
      </c>
      <c r="B7" s="2">
        <v>4400</v>
      </c>
      <c r="C7" s="2">
        <f t="shared" si="0"/>
        <v>425</v>
      </c>
      <c r="D7" s="2">
        <v>1</v>
      </c>
      <c r="E7" s="33">
        <f t="shared" si="1"/>
        <v>425</v>
      </c>
      <c r="F7" s="33">
        <f t="shared" si="2"/>
        <v>675</v>
      </c>
      <c r="G7" s="33">
        <f t="shared" si="3"/>
        <v>675</v>
      </c>
      <c r="H7" s="33"/>
      <c r="I7" s="33">
        <v>2</v>
      </c>
      <c r="J7" s="33">
        <v>0</v>
      </c>
      <c r="K7" s="2">
        <v>0</v>
      </c>
      <c r="L7" s="34">
        <v>0</v>
      </c>
      <c r="M7" s="27">
        <v>0</v>
      </c>
    </row>
    <row r="8" spans="1:13">
      <c r="A8" s="32" t="s">
        <v>27</v>
      </c>
      <c r="B8" s="2">
        <v>4950</v>
      </c>
      <c r="C8" s="2">
        <f t="shared" si="0"/>
        <v>550</v>
      </c>
      <c r="D8" s="2">
        <v>1</v>
      </c>
      <c r="E8" s="33">
        <f t="shared" si="1"/>
        <v>550</v>
      </c>
      <c r="F8" s="33">
        <f t="shared" si="2"/>
        <v>675</v>
      </c>
      <c r="G8" s="33">
        <f t="shared" si="3"/>
        <v>675</v>
      </c>
      <c r="H8" s="33"/>
      <c r="I8" s="33">
        <v>1</v>
      </c>
      <c r="J8" s="33">
        <v>0</v>
      </c>
      <c r="K8" s="2">
        <v>0</v>
      </c>
      <c r="L8" s="34">
        <v>144</v>
      </c>
      <c r="M8" s="27">
        <v>1</v>
      </c>
    </row>
    <row r="9" spans="1:13">
      <c r="A9" s="32" t="s">
        <v>28</v>
      </c>
      <c r="B9" s="2">
        <v>5575</v>
      </c>
      <c r="C9" s="2">
        <f t="shared" si="0"/>
        <v>625</v>
      </c>
      <c r="D9" s="2">
        <v>1</v>
      </c>
      <c r="E9" s="33">
        <f t="shared" si="1"/>
        <v>625</v>
      </c>
      <c r="F9" s="33">
        <f t="shared" si="2"/>
        <v>625</v>
      </c>
      <c r="G9" s="33">
        <f t="shared" si="3"/>
        <v>625</v>
      </c>
      <c r="H9" s="33"/>
      <c r="I9" s="33"/>
      <c r="J9" s="33">
        <v>0</v>
      </c>
      <c r="K9" s="2">
        <v>0</v>
      </c>
      <c r="L9" s="34">
        <v>0</v>
      </c>
      <c r="M9" s="27">
        <v>0</v>
      </c>
    </row>
    <row r="10" spans="1:13">
      <c r="A10" s="32" t="s">
        <v>29</v>
      </c>
      <c r="B10" s="2">
        <v>5775</v>
      </c>
      <c r="C10" s="2">
        <f t="shared" si="0"/>
        <v>200</v>
      </c>
      <c r="D10" s="2">
        <v>0</v>
      </c>
      <c r="E10" s="33">
        <f t="shared" si="1"/>
        <v>125</v>
      </c>
      <c r="F10" s="33">
        <f t="shared" si="2"/>
        <v>125</v>
      </c>
      <c r="G10" s="33">
        <f t="shared" si="3"/>
        <v>125</v>
      </c>
      <c r="H10" s="33"/>
      <c r="I10" s="33"/>
      <c r="J10" s="33">
        <v>61</v>
      </c>
      <c r="K10" s="2">
        <v>1</v>
      </c>
      <c r="L10" s="34">
        <v>0</v>
      </c>
      <c r="M10" s="27">
        <v>0</v>
      </c>
    </row>
    <row r="11" spans="1:13">
      <c r="A11" s="32" t="s">
        <v>30</v>
      </c>
      <c r="B11" s="2">
        <v>5800</v>
      </c>
      <c r="C11" s="2">
        <f t="shared" si="0"/>
        <v>25</v>
      </c>
      <c r="D11" s="2">
        <v>2</v>
      </c>
      <c r="E11" s="33">
        <f t="shared" si="1"/>
        <v>100</v>
      </c>
      <c r="F11" s="33">
        <f t="shared" si="2"/>
        <v>475</v>
      </c>
      <c r="G11" s="33">
        <f t="shared" si="3"/>
        <v>100</v>
      </c>
      <c r="H11" s="33">
        <v>3</v>
      </c>
      <c r="I11" s="33"/>
      <c r="J11" s="33">
        <v>0</v>
      </c>
      <c r="K11" s="2">
        <v>0</v>
      </c>
      <c r="L11" s="34">
        <v>154</v>
      </c>
      <c r="M11" s="27">
        <v>1</v>
      </c>
    </row>
    <row r="12" spans="1:13">
      <c r="A12" s="32" t="s">
        <v>31</v>
      </c>
      <c r="B12" s="2">
        <v>4825</v>
      </c>
      <c r="C12" s="2">
        <f t="shared" si="0"/>
        <v>-975</v>
      </c>
      <c r="D12" s="2">
        <v>0</v>
      </c>
      <c r="E12" s="33">
        <f t="shared" si="1"/>
        <v>-1050</v>
      </c>
      <c r="F12" s="33">
        <f t="shared" si="2"/>
        <v>-425</v>
      </c>
      <c r="G12" s="33">
        <f t="shared" si="3"/>
        <v>-675</v>
      </c>
      <c r="H12" s="33">
        <v>2</v>
      </c>
      <c r="I12" s="33">
        <v>3</v>
      </c>
      <c r="J12" s="33">
        <v>84</v>
      </c>
      <c r="K12" s="2">
        <v>1</v>
      </c>
      <c r="L12" s="34">
        <v>173</v>
      </c>
      <c r="M12" s="27">
        <v>1</v>
      </c>
    </row>
    <row r="13" spans="1:13">
      <c r="A13" s="32" t="s">
        <v>32</v>
      </c>
      <c r="B13" s="2">
        <v>5350</v>
      </c>
      <c r="C13" s="2">
        <f t="shared" si="0"/>
        <v>525</v>
      </c>
      <c r="D13" s="2">
        <v>2</v>
      </c>
      <c r="E13" s="33">
        <f t="shared" si="1"/>
        <v>600</v>
      </c>
      <c r="F13" s="33">
        <f t="shared" si="2"/>
        <v>850</v>
      </c>
      <c r="G13" s="33">
        <f t="shared" si="3"/>
        <v>850</v>
      </c>
      <c r="H13" s="33"/>
      <c r="I13" s="33">
        <v>2</v>
      </c>
      <c r="J13" s="33">
        <v>0</v>
      </c>
      <c r="K13" s="2">
        <v>0</v>
      </c>
      <c r="L13" s="34">
        <v>0</v>
      </c>
      <c r="M13" s="27">
        <v>0</v>
      </c>
    </row>
    <row r="14" spans="1:13">
      <c r="A14" s="32" t="s">
        <v>33</v>
      </c>
      <c r="B14" s="2">
        <v>5225</v>
      </c>
      <c r="C14" s="2">
        <f t="shared" si="0"/>
        <v>-125</v>
      </c>
      <c r="D14" s="2">
        <v>0</v>
      </c>
      <c r="E14" s="33">
        <f t="shared" si="1"/>
        <v>-200</v>
      </c>
      <c r="F14" s="33">
        <f t="shared" si="2"/>
        <v>-200</v>
      </c>
      <c r="G14" s="33">
        <f t="shared" si="3"/>
        <v>-200</v>
      </c>
      <c r="H14" s="33"/>
      <c r="I14" s="33"/>
      <c r="J14" s="33">
        <v>75</v>
      </c>
      <c r="K14" s="2">
        <v>1</v>
      </c>
      <c r="L14" s="34">
        <v>0</v>
      </c>
      <c r="M14" s="27">
        <v>0</v>
      </c>
    </row>
    <row r="15" spans="1:13">
      <c r="A15" s="32" t="s">
        <v>34</v>
      </c>
      <c r="B15" s="2">
        <v>5775</v>
      </c>
      <c r="C15" s="2">
        <f t="shared" si="0"/>
        <v>550</v>
      </c>
      <c r="D15" s="2">
        <v>2</v>
      </c>
      <c r="E15" s="33">
        <f t="shared" si="1"/>
        <v>625</v>
      </c>
      <c r="F15" s="33">
        <f t="shared" si="2"/>
        <v>625</v>
      </c>
      <c r="G15" s="33">
        <f t="shared" si="3"/>
        <v>625</v>
      </c>
      <c r="H15" s="33"/>
      <c r="I15" s="33"/>
      <c r="J15" s="33">
        <v>0</v>
      </c>
      <c r="K15" s="2">
        <v>0</v>
      </c>
      <c r="L15" s="34">
        <v>0</v>
      </c>
      <c r="M15" s="27">
        <v>0</v>
      </c>
    </row>
    <row r="16" spans="1:13">
      <c r="A16" s="32" t="s">
        <v>35</v>
      </c>
      <c r="B16" s="2">
        <v>5900</v>
      </c>
      <c r="C16" s="2">
        <f t="shared" si="0"/>
        <v>125</v>
      </c>
      <c r="D16" s="2">
        <v>0</v>
      </c>
      <c r="E16" s="33">
        <f t="shared" si="1"/>
        <v>50</v>
      </c>
      <c r="F16" s="33">
        <f t="shared" si="2"/>
        <v>175</v>
      </c>
      <c r="G16" s="33">
        <f t="shared" si="3"/>
        <v>50</v>
      </c>
      <c r="H16" s="33">
        <v>1</v>
      </c>
      <c r="I16" s="33"/>
      <c r="J16" s="33">
        <v>69</v>
      </c>
      <c r="K16" s="2">
        <v>1</v>
      </c>
      <c r="L16" s="34">
        <v>0</v>
      </c>
      <c r="M16" s="27">
        <v>0</v>
      </c>
    </row>
    <row r="17" spans="1:13">
      <c r="A17" s="32" t="s">
        <v>36</v>
      </c>
      <c r="B17" s="2">
        <v>5700</v>
      </c>
      <c r="C17" s="2">
        <f t="shared" si="0"/>
        <v>-200</v>
      </c>
      <c r="D17" s="2">
        <v>2</v>
      </c>
      <c r="E17" s="33">
        <f t="shared" si="1"/>
        <v>-125</v>
      </c>
      <c r="F17" s="33">
        <f t="shared" si="2"/>
        <v>375</v>
      </c>
      <c r="G17" s="33">
        <f t="shared" si="3"/>
        <v>375</v>
      </c>
      <c r="H17" s="33"/>
      <c r="I17" s="33">
        <v>4</v>
      </c>
      <c r="J17" s="33">
        <v>0</v>
      </c>
      <c r="K17" s="2">
        <v>0</v>
      </c>
      <c r="L17" s="34">
        <v>0</v>
      </c>
      <c r="M17" s="27">
        <v>0</v>
      </c>
    </row>
    <row r="18" ht="14.25" spans="1:13">
      <c r="A18" s="35" t="s">
        <v>37</v>
      </c>
      <c r="B18" s="36">
        <v>5750</v>
      </c>
      <c r="C18" s="36">
        <f t="shared" si="0"/>
        <v>50</v>
      </c>
      <c r="D18" s="36">
        <v>0</v>
      </c>
      <c r="E18" s="37">
        <f t="shared" si="1"/>
        <v>-25</v>
      </c>
      <c r="F18" s="37">
        <f t="shared" si="2"/>
        <v>-25</v>
      </c>
      <c r="G18" s="37">
        <f t="shared" si="3"/>
        <v>-25</v>
      </c>
      <c r="H18" s="37"/>
      <c r="I18" s="37"/>
      <c r="J18" s="37">
        <v>72</v>
      </c>
      <c r="K18" s="36">
        <v>1</v>
      </c>
      <c r="L18" s="38">
        <v>0</v>
      </c>
      <c r="M18" s="27">
        <v>0</v>
      </c>
    </row>
    <row r="19" spans="1:13">
      <c r="A19" s="28" t="s">
        <v>22</v>
      </c>
      <c r="B19" s="29">
        <v>5925</v>
      </c>
      <c r="C19" s="29">
        <f t="shared" si="0"/>
        <v>175</v>
      </c>
      <c r="D19" s="29">
        <v>2</v>
      </c>
      <c r="E19" s="30">
        <f t="shared" si="1"/>
        <v>250</v>
      </c>
      <c r="F19" s="30">
        <f t="shared" si="2"/>
        <v>500</v>
      </c>
      <c r="G19" s="30">
        <f t="shared" si="3"/>
        <v>250</v>
      </c>
      <c r="H19" s="30">
        <v>2</v>
      </c>
      <c r="I19" s="30"/>
      <c r="J19" s="30">
        <v>0</v>
      </c>
      <c r="K19" s="29">
        <v>0</v>
      </c>
      <c r="L19" s="31">
        <v>189</v>
      </c>
      <c r="M19" s="27">
        <v>1</v>
      </c>
    </row>
    <row r="20" spans="1:13">
      <c r="A20" s="32" t="s">
        <v>23</v>
      </c>
      <c r="B20" s="2">
        <v>6075</v>
      </c>
      <c r="C20" s="2">
        <f t="shared" si="0"/>
        <v>150</v>
      </c>
      <c r="D20" s="2">
        <v>0</v>
      </c>
      <c r="E20" s="33">
        <f t="shared" si="1"/>
        <v>75</v>
      </c>
      <c r="F20" s="33">
        <f t="shared" si="2"/>
        <v>75</v>
      </c>
      <c r="G20" s="33">
        <f t="shared" si="3"/>
        <v>75</v>
      </c>
      <c r="H20" s="33"/>
      <c r="I20" s="33"/>
      <c r="J20" s="33">
        <v>64</v>
      </c>
      <c r="K20" s="2">
        <v>1</v>
      </c>
      <c r="L20" s="34">
        <v>0</v>
      </c>
      <c r="M20" s="27">
        <v>0</v>
      </c>
    </row>
    <row r="21" spans="1:13">
      <c r="A21" s="32" t="s">
        <v>24</v>
      </c>
      <c r="B21" s="2">
        <v>5325</v>
      </c>
      <c r="C21" s="2">
        <f t="shared" si="0"/>
        <v>-750</v>
      </c>
      <c r="D21" s="2">
        <v>2</v>
      </c>
      <c r="E21" s="33">
        <f t="shared" si="1"/>
        <v>-675</v>
      </c>
      <c r="F21" s="33">
        <f t="shared" si="2"/>
        <v>-425</v>
      </c>
      <c r="G21" s="33">
        <f t="shared" si="3"/>
        <v>-675</v>
      </c>
      <c r="H21" s="33">
        <v>2</v>
      </c>
      <c r="I21" s="33"/>
      <c r="J21" s="33">
        <v>71</v>
      </c>
      <c r="K21" s="2">
        <v>1</v>
      </c>
      <c r="L21" s="34">
        <v>210</v>
      </c>
      <c r="M21" s="27">
        <v>1</v>
      </c>
    </row>
    <row r="22" spans="1:13">
      <c r="A22" s="32" t="s">
        <v>25</v>
      </c>
      <c r="B22" s="2">
        <v>5375</v>
      </c>
      <c r="C22" s="2">
        <f t="shared" si="0"/>
        <v>50</v>
      </c>
      <c r="D22" s="2">
        <v>1</v>
      </c>
      <c r="E22" s="33">
        <f t="shared" si="1"/>
        <v>50</v>
      </c>
      <c r="F22" s="33">
        <f t="shared" si="2"/>
        <v>425</v>
      </c>
      <c r="G22" s="33">
        <f t="shared" si="3"/>
        <v>425</v>
      </c>
      <c r="H22" s="33"/>
      <c r="I22" s="33">
        <v>3</v>
      </c>
      <c r="J22" s="33">
        <v>0</v>
      </c>
      <c r="K22" s="2">
        <v>0</v>
      </c>
      <c r="L22" s="34">
        <v>0</v>
      </c>
      <c r="M22" s="27">
        <v>0</v>
      </c>
    </row>
    <row r="23" spans="1:13">
      <c r="A23" s="32" t="s">
        <v>26</v>
      </c>
      <c r="B23" s="2">
        <v>4850</v>
      </c>
      <c r="C23" s="2">
        <f t="shared" si="0"/>
        <v>-525</v>
      </c>
      <c r="D23" s="2">
        <v>0</v>
      </c>
      <c r="E23" s="33">
        <f t="shared" si="1"/>
        <v>-600</v>
      </c>
      <c r="F23" s="33">
        <f t="shared" si="2"/>
        <v>-475</v>
      </c>
      <c r="G23" s="33">
        <f t="shared" si="3"/>
        <v>-600</v>
      </c>
      <c r="H23" s="33">
        <v>1</v>
      </c>
      <c r="I23" s="33"/>
      <c r="J23" s="33">
        <v>85</v>
      </c>
      <c r="K23" s="2">
        <v>1</v>
      </c>
      <c r="L23" s="34">
        <v>0</v>
      </c>
      <c r="M23" s="27">
        <v>0</v>
      </c>
    </row>
    <row r="24" spans="1:13">
      <c r="A24" s="32" t="s">
        <v>27</v>
      </c>
      <c r="B24" s="2">
        <v>3750</v>
      </c>
      <c r="C24" s="2">
        <f t="shared" si="0"/>
        <v>-1100</v>
      </c>
      <c r="D24" s="2">
        <v>2</v>
      </c>
      <c r="E24" s="33">
        <f t="shared" si="1"/>
        <v>-1025</v>
      </c>
      <c r="F24" s="33">
        <f t="shared" si="2"/>
        <v>-400</v>
      </c>
      <c r="G24" s="33">
        <f t="shared" si="3"/>
        <v>-775</v>
      </c>
      <c r="H24" s="33">
        <v>3</v>
      </c>
      <c r="I24" s="33">
        <v>2</v>
      </c>
      <c r="J24" s="33">
        <v>82</v>
      </c>
      <c r="K24" s="2">
        <v>1</v>
      </c>
      <c r="L24" s="34">
        <v>189</v>
      </c>
      <c r="M24" s="27">
        <v>1</v>
      </c>
    </row>
    <row r="25" ht="14.25" spans="1:13">
      <c r="A25" s="35" t="s">
        <v>28</v>
      </c>
      <c r="B25" s="36">
        <v>4225</v>
      </c>
      <c r="C25" s="36">
        <f t="shared" si="0"/>
        <v>475</v>
      </c>
      <c r="D25" s="36">
        <v>1</v>
      </c>
      <c r="E25" s="37">
        <f t="shared" si="1"/>
        <v>475</v>
      </c>
      <c r="F25" s="37">
        <f t="shared" si="2"/>
        <v>725</v>
      </c>
      <c r="G25" s="37">
        <f t="shared" si="3"/>
        <v>475</v>
      </c>
      <c r="H25" s="37">
        <v>2</v>
      </c>
      <c r="I25" s="37"/>
      <c r="J25" s="37">
        <v>0</v>
      </c>
      <c r="K25" s="36">
        <v>0</v>
      </c>
      <c r="L25" s="38">
        <v>119</v>
      </c>
      <c r="M25" s="27">
        <v>1</v>
      </c>
    </row>
    <row r="26" spans="1:13">
      <c r="A26" s="28" t="s">
        <v>22</v>
      </c>
      <c r="B26" s="29">
        <v>4175</v>
      </c>
      <c r="C26" s="29">
        <f t="shared" si="0"/>
        <v>-50</v>
      </c>
      <c r="D26" s="29">
        <v>1</v>
      </c>
      <c r="E26" s="30">
        <f t="shared" si="1"/>
        <v>-50</v>
      </c>
      <c r="F26" s="30">
        <f t="shared" si="2"/>
        <v>-50</v>
      </c>
      <c r="G26" s="30">
        <f t="shared" si="3"/>
        <v>-50</v>
      </c>
      <c r="H26" s="30"/>
      <c r="I26" s="30"/>
      <c r="J26" s="30">
        <v>85</v>
      </c>
      <c r="K26" s="29">
        <v>1</v>
      </c>
      <c r="L26" s="31">
        <v>0</v>
      </c>
      <c r="M26" s="27">
        <v>0</v>
      </c>
    </row>
    <row r="27" spans="1:13">
      <c r="A27" s="32" t="s">
        <v>23</v>
      </c>
      <c r="B27" s="2">
        <v>3425</v>
      </c>
      <c r="C27" s="39">
        <f t="shared" si="0"/>
        <v>-750</v>
      </c>
      <c r="D27" s="39">
        <v>0</v>
      </c>
      <c r="E27" s="40">
        <f t="shared" si="1"/>
        <v>-825</v>
      </c>
      <c r="F27" s="33">
        <f t="shared" si="2"/>
        <v>-450</v>
      </c>
      <c r="G27" s="33">
        <f t="shared" si="3"/>
        <v>-825</v>
      </c>
      <c r="H27" s="40">
        <v>3</v>
      </c>
      <c r="I27" s="40"/>
      <c r="J27" s="40">
        <v>76</v>
      </c>
      <c r="K27" s="40">
        <v>1</v>
      </c>
      <c r="L27" s="41">
        <v>231</v>
      </c>
      <c r="M27" s="3">
        <v>1</v>
      </c>
    </row>
    <row r="28" spans="1:13">
      <c r="A28" s="32" t="s">
        <v>24</v>
      </c>
      <c r="B28" s="2">
        <v>3775</v>
      </c>
      <c r="C28" s="39">
        <f t="shared" si="0"/>
        <v>350</v>
      </c>
      <c r="D28" s="39">
        <v>2</v>
      </c>
      <c r="E28" s="40">
        <f t="shared" si="1"/>
        <v>425</v>
      </c>
      <c r="F28" s="33">
        <f t="shared" si="2"/>
        <v>425</v>
      </c>
      <c r="G28" s="33">
        <f t="shared" si="3"/>
        <v>425</v>
      </c>
      <c r="H28" s="40"/>
      <c r="I28" s="40"/>
      <c r="J28" s="40">
        <v>0</v>
      </c>
      <c r="K28" s="40">
        <v>0</v>
      </c>
      <c r="L28" s="41">
        <v>0</v>
      </c>
      <c r="M28" s="3">
        <v>0</v>
      </c>
    </row>
    <row r="29" spans="1:13">
      <c r="A29" s="32" t="s">
        <v>25</v>
      </c>
      <c r="B29" s="2">
        <v>4250</v>
      </c>
      <c r="C29" s="39">
        <f t="shared" si="0"/>
        <v>475</v>
      </c>
      <c r="D29" s="39">
        <v>1</v>
      </c>
      <c r="E29" s="40">
        <f t="shared" si="1"/>
        <v>475</v>
      </c>
      <c r="F29" s="33">
        <f t="shared" si="2"/>
        <v>725</v>
      </c>
      <c r="G29" s="33">
        <f t="shared" si="3"/>
        <v>600</v>
      </c>
      <c r="H29" s="40">
        <v>1</v>
      </c>
      <c r="I29" s="40">
        <v>1</v>
      </c>
      <c r="J29" s="40">
        <v>0</v>
      </c>
      <c r="K29" s="40">
        <v>0</v>
      </c>
      <c r="L29" s="41">
        <v>0</v>
      </c>
      <c r="M29" s="3">
        <v>0</v>
      </c>
    </row>
    <row r="30" ht="14.25" spans="1:13">
      <c r="A30" s="35" t="s">
        <v>26</v>
      </c>
      <c r="B30" s="36">
        <v>4175</v>
      </c>
      <c r="C30" s="42">
        <f t="shared" si="0"/>
        <v>-75</v>
      </c>
      <c r="D30" s="42">
        <v>0</v>
      </c>
      <c r="E30" s="43">
        <f t="shared" si="1"/>
        <v>-150</v>
      </c>
      <c r="F30" s="37">
        <f t="shared" si="2"/>
        <v>-25</v>
      </c>
      <c r="G30" s="37">
        <f t="shared" si="3"/>
        <v>-150</v>
      </c>
      <c r="H30" s="43">
        <v>1</v>
      </c>
      <c r="I30" s="43"/>
      <c r="J30" s="43">
        <v>62</v>
      </c>
      <c r="K30" s="43">
        <v>1</v>
      </c>
      <c r="L30" s="44">
        <v>166</v>
      </c>
      <c r="M30" s="3">
        <v>1</v>
      </c>
    </row>
    <row r="31" spans="1:13">
      <c r="A31" s="28" t="s">
        <v>22</v>
      </c>
      <c r="B31" s="29">
        <v>4200</v>
      </c>
      <c r="C31" s="45">
        <f t="shared" si="0"/>
        <v>25</v>
      </c>
      <c r="D31" s="45">
        <v>2</v>
      </c>
      <c r="E31" s="46">
        <f t="shared" si="1"/>
        <v>100</v>
      </c>
      <c r="F31" s="30">
        <f t="shared" si="2"/>
        <v>100</v>
      </c>
      <c r="G31" s="30">
        <f t="shared" si="3"/>
        <v>100</v>
      </c>
      <c r="H31" s="46"/>
      <c r="I31" s="46"/>
      <c r="J31" s="46">
        <v>76</v>
      </c>
      <c r="K31" s="46">
        <v>1</v>
      </c>
      <c r="L31" s="47">
        <v>0</v>
      </c>
      <c r="M31" s="3">
        <v>0</v>
      </c>
    </row>
    <row r="32" ht="14.25" spans="1:13">
      <c r="A32" s="35" t="s">
        <v>23</v>
      </c>
      <c r="B32" s="36">
        <v>3200</v>
      </c>
      <c r="C32" s="42">
        <f t="shared" si="0"/>
        <v>-1000</v>
      </c>
      <c r="D32" s="42">
        <v>1</v>
      </c>
      <c r="E32" s="43">
        <f t="shared" si="1"/>
        <v>-1000</v>
      </c>
      <c r="F32" s="37">
        <f t="shared" si="2"/>
        <v>-125</v>
      </c>
      <c r="G32" s="37">
        <f t="shared" si="3"/>
        <v>-750</v>
      </c>
      <c r="H32" s="43">
        <v>5</v>
      </c>
      <c r="I32" s="43">
        <v>2</v>
      </c>
      <c r="J32" s="43">
        <v>0</v>
      </c>
      <c r="K32" s="43">
        <v>0</v>
      </c>
      <c r="L32" s="44">
        <v>208</v>
      </c>
      <c r="M32" s="3">
        <v>1</v>
      </c>
    </row>
    <row r="33" spans="1:13">
      <c r="A33" s="28" t="s">
        <v>22</v>
      </c>
      <c r="B33" s="29">
        <v>2975</v>
      </c>
      <c r="C33" s="45">
        <f t="shared" si="0"/>
        <v>-225</v>
      </c>
      <c r="D33" s="45">
        <v>1</v>
      </c>
      <c r="E33" s="46">
        <f t="shared" si="1"/>
        <v>-225</v>
      </c>
      <c r="F33" s="30">
        <f t="shared" si="2"/>
        <v>275</v>
      </c>
      <c r="G33" s="30">
        <f t="shared" si="3"/>
        <v>-100</v>
      </c>
      <c r="H33" s="46">
        <v>3</v>
      </c>
      <c r="I33" s="46">
        <v>1</v>
      </c>
      <c r="J33" s="46">
        <v>0</v>
      </c>
      <c r="K33" s="46">
        <v>0</v>
      </c>
      <c r="L33" s="47">
        <v>194</v>
      </c>
      <c r="M33" s="3">
        <v>1</v>
      </c>
    </row>
    <row r="34" ht="14.25" spans="1:13">
      <c r="A34" s="35" t="s">
        <v>23</v>
      </c>
      <c r="B34" s="36">
        <v>2175</v>
      </c>
      <c r="C34" s="42">
        <f t="shared" si="0"/>
        <v>-800</v>
      </c>
      <c r="D34" s="42">
        <v>0</v>
      </c>
      <c r="E34" s="43">
        <f t="shared" si="1"/>
        <v>-875</v>
      </c>
      <c r="F34" s="37">
        <f t="shared" si="2"/>
        <v>-625</v>
      </c>
      <c r="G34" s="37">
        <f t="shared" si="3"/>
        <v>-875</v>
      </c>
      <c r="H34" s="43">
        <v>2</v>
      </c>
      <c r="I34" s="43"/>
      <c r="J34" s="43">
        <v>82</v>
      </c>
      <c r="K34" s="43">
        <v>1</v>
      </c>
      <c r="L34" s="44">
        <v>203</v>
      </c>
      <c r="M34" s="3">
        <v>1</v>
      </c>
    </row>
    <row r="35" spans="1:13">
      <c r="H35" s="5">
        <f>SUM(H2:H34)</f>
        <v>40</v>
      </c>
      <c r="I35" s="5">
        <f>SUM(I2:I34)</f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J24"/>
  <sheetViews>
    <sheetView zoomScale="115" zoomScaleNormal="115" topLeftCell="A6" workbookViewId="0">
      <selection activeCell="C22" sqref="C22"/>
    </sheetView>
  </sheetViews>
  <sheetFormatPr defaultColWidth="9" defaultRowHeight="13.5"/>
  <cols>
    <col min="1" max="1" width="9" style="10"/>
    <col min="2" max="2" width="13.6333333333333" style="10" customWidth="1"/>
    <col min="3" max="4" width="12.625" style="10"/>
    <col min="5" max="5" width="9.375" style="10"/>
    <col min="6" max="12" width="12.625" style="10"/>
    <col min="13" max="16384" width="9" style="10"/>
  </cols>
  <sheetData>
    <row r="2" spans="2:10">
      <c r="C2" s="10" t="s">
        <v>50</v>
      </c>
      <c r="D2" s="10" t="s">
        <v>51</v>
      </c>
    </row>
    <row r="3" ht="14.25" spans="2:10">
      <c r="F3" s="10">
        <v>188</v>
      </c>
      <c r="G3" s="10">
        <v>236</v>
      </c>
      <c r="H3" s="10">
        <v>220</v>
      </c>
      <c r="I3" s="10">
        <v>216</v>
      </c>
    </row>
    <row r="4" ht="14.25" spans="2:10">
      <c r="B4" s="10" t="s">
        <v>52</v>
      </c>
      <c r="C4" s="10">
        <f>SUM(F4:I4)</f>
        <v>1.13333333333333</v>
      </c>
      <c r="D4" s="11">
        <f>(9*50+150+75)*C4</f>
        <v>765</v>
      </c>
      <c r="F4" s="10">
        <f>1-F3/300</f>
        <v>0.373333333333333</v>
      </c>
      <c r="G4" s="10">
        <f>1-G3/300</f>
        <v>0.213333333333333</v>
      </c>
      <c r="H4" s="10">
        <f>1-H3/300</f>
        <v>0.266666666666667</v>
      </c>
      <c r="I4" s="10">
        <f>1-I3/300</f>
        <v>0.28</v>
      </c>
    </row>
    <row r="5" spans="2:10">
      <c r="B5" s="10" t="s">
        <v>53</v>
      </c>
      <c r="C5" s="10">
        <v>23</v>
      </c>
      <c r="D5" s="10">
        <f>125*(C5)</f>
        <v>2875</v>
      </c>
    </row>
    <row r="6" spans="2:10">
      <c r="F6" s="10">
        <v>3636</v>
      </c>
      <c r="G6" s="10">
        <v>2760</v>
      </c>
      <c r="H6" s="10">
        <v>536</v>
      </c>
      <c r="I6" s="10">
        <v>1296</v>
      </c>
      <c r="J6" s="10">
        <v>1700</v>
      </c>
    </row>
    <row r="7" ht="14.25" spans="2:10">
      <c r="B7" s="10" t="s">
        <v>54</v>
      </c>
      <c r="C7" s="10">
        <f>SUM(F7:J7)</f>
        <v>2.518</v>
      </c>
      <c r="D7" s="10">
        <f>125*(C7)</f>
        <v>314.75</v>
      </c>
      <c r="F7" s="10">
        <f t="shared" ref="F7:K7" si="0">1-F6/4000</f>
        <v>0.091</v>
      </c>
      <c r="G7" s="10">
        <f t="shared" si="0"/>
        <v>0.31</v>
      </c>
      <c r="H7" s="10">
        <f t="shared" si="0"/>
        <v>0.866</v>
      </c>
      <c r="I7" s="10">
        <f t="shared" si="0"/>
        <v>0.676</v>
      </c>
      <c r="J7" s="10">
        <f t="shared" si="0"/>
        <v>0.575</v>
      </c>
    </row>
    <row r="8" ht="14.25" spans="2:10">
      <c r="B8" s="10" t="s">
        <v>55</v>
      </c>
      <c r="D8" s="11">
        <f>D7+D5</f>
        <v>3189.75</v>
      </c>
    </row>
    <row r="9" spans="2:10">
      <c r="B9" s="10" t="s">
        <v>56</v>
      </c>
      <c r="C9" s="10">
        <v>40</v>
      </c>
      <c r="D9" s="10">
        <f>125*(C9)</f>
        <v>5000</v>
      </c>
    </row>
    <row r="10" spans="2:10">
      <c r="F10" s="10">
        <v>3128</v>
      </c>
      <c r="G10" s="10">
        <v>3384</v>
      </c>
      <c r="H10" s="10">
        <v>3516</v>
      </c>
      <c r="I10" s="10">
        <v>1216</v>
      </c>
    </row>
    <row r="11" ht="14.25" spans="2:10">
      <c r="B11" s="10" t="s">
        <v>57</v>
      </c>
      <c r="C11" s="10">
        <f>SUM(F11:I11)</f>
        <v>1.189</v>
      </c>
      <c r="D11" s="10">
        <f>125*(C11)</f>
        <v>148.625</v>
      </c>
      <c r="F11" s="10">
        <f>1-F10/4000</f>
        <v>0.218</v>
      </c>
      <c r="G11" s="10">
        <f t="shared" ref="G11:L11" si="1">1-G10/4000</f>
        <v>0.154</v>
      </c>
      <c r="H11" s="10">
        <f t="shared" si="1"/>
        <v>0.121</v>
      </c>
      <c r="I11" s="10">
        <f t="shared" si="1"/>
        <v>0.696</v>
      </c>
    </row>
    <row r="12" ht="14.25" spans="2:10">
      <c r="B12" s="10" t="s">
        <v>58</v>
      </c>
      <c r="D12" s="11">
        <f>D11+D9</f>
        <v>5148.625</v>
      </c>
    </row>
    <row r="13" ht="14.25" spans="2:10">
      <c r="F13" s="10">
        <v>132</v>
      </c>
    </row>
    <row r="14" ht="14.25" spans="2:10">
      <c r="B14" s="10" t="s">
        <v>59</v>
      </c>
      <c r="C14" s="10">
        <f>SUM(F14)</f>
        <v>0.56</v>
      </c>
      <c r="D14" s="12">
        <f>125*(C14)</f>
        <v>70</v>
      </c>
      <c r="F14" s="10">
        <f>1-F13/300</f>
        <v>0.56</v>
      </c>
    </row>
    <row r="16" spans="2:10">
      <c r="B16" s="10" t="s">
        <v>60</v>
      </c>
      <c r="C16" s="10">
        <f>18/32</f>
        <v>0.5625</v>
      </c>
    </row>
    <row r="17" spans="2:4">
      <c r="B17" s="10" t="s">
        <v>61</v>
      </c>
      <c r="C17" s="10">
        <v>0.5294</v>
      </c>
    </row>
    <row r="18" spans="2:4">
      <c r="B18" s="10" t="s">
        <v>62</v>
      </c>
      <c r="C18" s="10">
        <f>D8/C16*C17</f>
        <v>3002.05093333333</v>
      </c>
      <c r="D18" s="10">
        <f>C18-D8</f>
        <v>-187.699066666667</v>
      </c>
    </row>
    <row r="20" spans="2:4">
      <c r="B20" s="10" t="s">
        <v>63</v>
      </c>
      <c r="C20" s="10">
        <f>C18+D12+D4+D14</f>
        <v>8985.67593333333</v>
      </c>
    </row>
    <row r="21" spans="2:4">
      <c r="B21" s="10" t="s">
        <v>64</v>
      </c>
      <c r="C21" s="13">
        <f>C20/32</f>
        <v>280.802372916667</v>
      </c>
    </row>
    <row r="23" spans="2:4">
      <c r="B23" s="10" t="s">
        <v>65</v>
      </c>
      <c r="C23" s="10">
        <f>D4+D7+D11+D14</f>
        <v>1298.375</v>
      </c>
    </row>
    <row r="24" spans="2:4">
      <c r="D24" s="1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0"/>
  <sheetViews>
    <sheetView zoomScale="115" zoomScaleNormal="115" workbookViewId="0">
      <selection activeCell="B19" sqref="B19"/>
    </sheetView>
  </sheetViews>
  <sheetFormatPr defaultColWidth="9" defaultRowHeight="13.5" outlineLevelCol="4"/>
  <cols>
    <col min="1" max="1" width="11.5" style="7"/>
    <col min="2" max="2" width="13.275" style="7" customWidth="1"/>
    <col min="3" max="3" width="12.5583333333333" style="7" customWidth="1"/>
    <col min="4" max="5" width="13.75" style="7"/>
    <col min="6" max="16384" width="9" style="7"/>
  </cols>
  <sheetData>
    <row r="2" spans="1:5">
      <c r="A2" s="8"/>
      <c r="B2" s="8">
        <v>0</v>
      </c>
      <c r="E2" s="7" t="s">
        <v>66</v>
      </c>
    </row>
    <row r="3" spans="1:5">
      <c r="A3" s="9" t="s">
        <v>67</v>
      </c>
      <c r="B3" s="7">
        <f>C3+D3</f>
        <v>-156.583622916667</v>
      </c>
      <c r="C3" s="7">
        <v>124.21875</v>
      </c>
      <c r="D3" s="7">
        <v>-280.802372916667</v>
      </c>
      <c r="E3" s="7">
        <f>B3</f>
        <v>-156.583622916667</v>
      </c>
    </row>
    <row r="4" spans="1:5">
      <c r="A4" s="9" t="s">
        <v>20</v>
      </c>
      <c r="B4" s="9">
        <v>-357.03125</v>
      </c>
      <c r="E4" s="7">
        <f>B4*(2*B14-1)</f>
        <v>-21.001834875</v>
      </c>
    </row>
    <row r="5" spans="1:5">
      <c r="A5" s="9" t="s">
        <v>7</v>
      </c>
      <c r="B5" s="9">
        <v>-153.90625</v>
      </c>
      <c r="E5" s="7">
        <f>B5*(2*B14-1)</f>
        <v>-9.053307375</v>
      </c>
    </row>
    <row r="6" spans="1:5">
      <c r="A6" s="9" t="s">
        <v>8</v>
      </c>
      <c r="B6" s="9">
        <v>-97.65625</v>
      </c>
      <c r="E6" s="7">
        <f>B6*(2*B14-1)</f>
        <v>-5.744484375</v>
      </c>
    </row>
    <row r="7" spans="1:5">
      <c r="A7" s="9" t="s">
        <v>19</v>
      </c>
      <c r="B7" s="9">
        <v>46.09375</v>
      </c>
      <c r="E7" s="7">
        <f>B7*(2*B14-1)</f>
        <v>2.711396625</v>
      </c>
    </row>
    <row r="8" spans="1:5">
      <c r="A8" s="9" t="s">
        <v>68</v>
      </c>
      <c r="B8" s="9">
        <v>-91.40625</v>
      </c>
      <c r="E8" s="7">
        <f>B8*(2*B19-1)</f>
        <v>89.578125</v>
      </c>
    </row>
    <row r="9" spans="1:5">
      <c r="A9" s="9" t="s">
        <v>69</v>
      </c>
      <c r="B9" s="9">
        <v>-44.53125</v>
      </c>
      <c r="E9" s="7">
        <f>B9*(2*B16-1)</f>
        <v>2.619484875</v>
      </c>
    </row>
    <row r="10" spans="1:5">
      <c r="A10" s="9" t="s">
        <v>70</v>
      </c>
      <c r="B10" s="9">
        <v>-47.65625</v>
      </c>
      <c r="E10" s="7">
        <f>B10*(2*B16-1)</f>
        <v>2.803308375</v>
      </c>
    </row>
    <row r="11" spans="1:5">
      <c r="A11" s="9" t="s">
        <v>71</v>
      </c>
      <c r="B11" s="9">
        <v>-38.28125</v>
      </c>
      <c r="E11" s="7">
        <f>B11*(2*B20-1)</f>
        <v>2.2068011175</v>
      </c>
    </row>
    <row r="12" spans="1:5">
      <c r="E12" s="7">
        <f>SUM(E3:E11)</f>
        <v>-92.4641335491671</v>
      </c>
    </row>
    <row r="13" spans="1:5">
      <c r="A13" s="7" t="s">
        <v>72</v>
      </c>
      <c r="B13" s="7">
        <v>0.26470588</v>
      </c>
    </row>
    <row r="14" spans="1:5">
      <c r="A14" s="7" t="s">
        <v>73</v>
      </c>
      <c r="B14" s="7">
        <v>0.52941176</v>
      </c>
    </row>
    <row r="15" spans="1:5">
      <c r="A15" s="7" t="s">
        <v>74</v>
      </c>
      <c r="B15" s="7">
        <f>1+B13-2*B14</f>
        <v>0.20588236</v>
      </c>
    </row>
    <row r="16" spans="1:5">
      <c r="A16" s="7" t="s">
        <v>75</v>
      </c>
      <c r="B16" s="7">
        <f>B13+B15</f>
        <v>0.47058824</v>
      </c>
    </row>
    <row r="17" spans="1:2">
      <c r="A17" s="7" t="s">
        <v>76</v>
      </c>
      <c r="B17" s="7">
        <f>1-B16</f>
        <v>0.52941176</v>
      </c>
    </row>
    <row r="19" spans="1:2">
      <c r="A19" s="7" t="s">
        <v>77</v>
      </c>
      <c r="B19" s="7">
        <v>0.01</v>
      </c>
    </row>
    <row r="20" spans="1:2">
      <c r="A20" s="7" t="s">
        <v>78</v>
      </c>
      <c r="B20" s="7">
        <f>B19*B14+(1-B14)*(1-B19)</f>
        <v>0.4711764752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85" zoomScaleNormal="85" topLeftCell="A3" workbookViewId="0">
      <selection activeCell="D4" sqref="D4"/>
    </sheetView>
  </sheetViews>
  <sheetFormatPr defaultColWidth="9" defaultRowHeight="13.5" outlineLevelCol="4"/>
  <cols>
    <col min="1" max="3" width="9" style="5"/>
    <col min="4" max="4" width="11.7333333333333" style="5" customWidth="1"/>
    <col min="5" max="5" width="11.5" style="5"/>
    <col min="6" max="16384" width="9" style="5"/>
  </cols>
  <sheetData>
    <row r="1" spans="1:5">
      <c r="B1" s="5" t="s">
        <v>79</v>
      </c>
      <c r="C1" s="5" t="b">
        <v>1</v>
      </c>
      <c r="D1" s="5" t="s">
        <v>80</v>
      </c>
      <c r="E1" s="5" t="s">
        <v>81</v>
      </c>
    </row>
    <row r="2" spans="1:5">
      <c r="C2" s="5">
        <v>6000</v>
      </c>
      <c r="E2" s="5">
        <v>6000</v>
      </c>
    </row>
    <row r="3" spans="1:5">
      <c r="A3" s="2" t="s">
        <v>22</v>
      </c>
      <c r="B3" s="2">
        <v>-350</v>
      </c>
      <c r="C3" s="5">
        <f>C2+B3-280.8</f>
        <v>5369.2</v>
      </c>
      <c r="D3" s="4">
        <v>-202.34375</v>
      </c>
      <c r="E3" s="5">
        <f>E2+D3-280.8</f>
        <v>5516.85625</v>
      </c>
    </row>
    <row r="4" spans="1:5">
      <c r="A4" s="2" t="s">
        <v>23</v>
      </c>
      <c r="B4" s="2">
        <v>475</v>
      </c>
      <c r="C4" s="5">
        <f t="shared" ref="C4:C34" si="0">C3+B4-280.8</f>
        <v>5563.4</v>
      </c>
      <c r="D4" s="6">
        <v>310.156249999999</v>
      </c>
      <c r="E4" s="5">
        <f t="shared" ref="E4:E34" si="1">E3+D4-280.8</f>
        <v>5546.2125</v>
      </c>
    </row>
    <row r="5" spans="1:5">
      <c r="A5" s="2" t="s">
        <v>24</v>
      </c>
      <c r="B5" s="2">
        <v>-750</v>
      </c>
      <c r="C5" s="5">
        <f t="shared" si="0"/>
        <v>4532.6</v>
      </c>
      <c r="D5" s="4">
        <v>-492.96875</v>
      </c>
      <c r="E5" s="5">
        <f t="shared" si="1"/>
        <v>4772.44375</v>
      </c>
    </row>
    <row r="6" spans="1:5">
      <c r="A6" s="2" t="s">
        <v>25</v>
      </c>
      <c r="B6" s="2">
        <v>-25</v>
      </c>
      <c r="C6" s="5">
        <f t="shared" si="0"/>
        <v>4226.8</v>
      </c>
      <c r="D6" s="6">
        <v>142.96875</v>
      </c>
      <c r="E6" s="5">
        <f t="shared" si="1"/>
        <v>4634.6125</v>
      </c>
    </row>
    <row r="7" spans="1:5">
      <c r="A7" s="2" t="s">
        <v>26</v>
      </c>
      <c r="B7" s="2">
        <v>675</v>
      </c>
      <c r="C7" s="5">
        <f t="shared" si="0"/>
        <v>4621</v>
      </c>
      <c r="D7" s="6">
        <v>739.84375</v>
      </c>
      <c r="E7" s="5">
        <f t="shared" si="1"/>
        <v>5093.65625</v>
      </c>
    </row>
    <row r="8" spans="1:5">
      <c r="A8" s="2" t="s">
        <v>27</v>
      </c>
      <c r="B8" s="2">
        <v>675</v>
      </c>
      <c r="C8" s="5">
        <f t="shared" si="0"/>
        <v>5015.2</v>
      </c>
      <c r="D8" s="6">
        <v>692.968749999999</v>
      </c>
      <c r="E8" s="5">
        <f t="shared" si="1"/>
        <v>5505.825</v>
      </c>
    </row>
    <row r="9" spans="1:5">
      <c r="A9" s="2" t="s">
        <v>28</v>
      </c>
      <c r="B9" s="2">
        <v>625</v>
      </c>
      <c r="C9" s="5">
        <f t="shared" si="0"/>
        <v>5359.4</v>
      </c>
      <c r="D9" s="6">
        <v>639.84375</v>
      </c>
      <c r="E9" s="5">
        <f t="shared" si="1"/>
        <v>5864.86875</v>
      </c>
    </row>
    <row r="10" spans="1:5">
      <c r="A10" s="2" t="s">
        <v>29</v>
      </c>
      <c r="B10" s="2">
        <v>125</v>
      </c>
      <c r="C10" s="5">
        <f t="shared" si="0"/>
        <v>5203.6</v>
      </c>
      <c r="D10" s="4">
        <v>-77.3437499999998</v>
      </c>
      <c r="E10" s="5">
        <f t="shared" si="1"/>
        <v>5506.725</v>
      </c>
    </row>
    <row r="11" spans="1:5">
      <c r="A11" s="2" t="s">
        <v>30</v>
      </c>
      <c r="B11" s="2">
        <v>475</v>
      </c>
      <c r="C11" s="5">
        <f t="shared" si="0"/>
        <v>5397.8</v>
      </c>
      <c r="D11" s="4">
        <v>402.34375</v>
      </c>
      <c r="E11" s="5">
        <f t="shared" si="1"/>
        <v>5628.26875</v>
      </c>
    </row>
    <row r="12" spans="1:5">
      <c r="A12" s="2" t="s">
        <v>31</v>
      </c>
      <c r="B12" s="2">
        <v>-425</v>
      </c>
      <c r="C12" s="5">
        <f t="shared" si="0"/>
        <v>4692</v>
      </c>
      <c r="D12" s="4">
        <v>-400.781249999999</v>
      </c>
      <c r="E12" s="5">
        <f t="shared" si="1"/>
        <v>4946.6875</v>
      </c>
    </row>
    <row r="13" spans="1:5">
      <c r="A13" s="2" t="s">
        <v>32</v>
      </c>
      <c r="B13" s="2">
        <v>850</v>
      </c>
      <c r="C13" s="5">
        <f t="shared" si="0"/>
        <v>5261.2</v>
      </c>
      <c r="D13" s="4">
        <v>633.59375</v>
      </c>
      <c r="E13" s="5">
        <f t="shared" si="1"/>
        <v>5299.48125</v>
      </c>
    </row>
    <row r="14" spans="1:5">
      <c r="A14" s="2" t="s">
        <v>33</v>
      </c>
      <c r="B14" s="2">
        <v>-200</v>
      </c>
      <c r="C14" s="5">
        <f t="shared" si="0"/>
        <v>4780.4</v>
      </c>
      <c r="D14" s="4">
        <v>-91.4062499999998</v>
      </c>
      <c r="E14" s="5">
        <f t="shared" si="1"/>
        <v>4927.275</v>
      </c>
    </row>
    <row r="15" spans="1:5">
      <c r="A15" s="2" t="s">
        <v>34</v>
      </c>
      <c r="B15" s="2">
        <v>625</v>
      </c>
      <c r="C15" s="5">
        <f t="shared" si="0"/>
        <v>5124.6</v>
      </c>
      <c r="D15" s="6">
        <v>547.65625</v>
      </c>
      <c r="E15" s="5">
        <f t="shared" si="1"/>
        <v>5194.13125</v>
      </c>
    </row>
    <row r="16" spans="1:5">
      <c r="A16" s="2" t="s">
        <v>35</v>
      </c>
      <c r="B16" s="2">
        <v>175</v>
      </c>
      <c r="C16" s="5">
        <f t="shared" si="0"/>
        <v>5018.8</v>
      </c>
      <c r="D16" s="6">
        <v>22.65625</v>
      </c>
      <c r="E16" s="5">
        <f t="shared" si="1"/>
        <v>4935.9875</v>
      </c>
    </row>
    <row r="17" spans="1:5">
      <c r="A17" s="2" t="s">
        <v>36</v>
      </c>
      <c r="B17" s="2">
        <v>375</v>
      </c>
      <c r="C17" s="5">
        <f t="shared" si="0"/>
        <v>5113</v>
      </c>
      <c r="D17" s="6">
        <v>647.65625</v>
      </c>
      <c r="E17" s="5">
        <f t="shared" si="1"/>
        <v>5302.84375</v>
      </c>
    </row>
    <row r="18" spans="1:5">
      <c r="A18" s="2" t="s">
        <v>37</v>
      </c>
      <c r="B18" s="2">
        <v>-25</v>
      </c>
      <c r="C18" s="5">
        <f t="shared" si="0"/>
        <v>4807.2</v>
      </c>
      <c r="D18" s="6">
        <v>14.8437500000003</v>
      </c>
      <c r="E18" s="5">
        <f t="shared" si="1"/>
        <v>5036.8875</v>
      </c>
    </row>
    <row r="19" spans="1:5">
      <c r="A19" s="2" t="s">
        <v>22</v>
      </c>
      <c r="B19" s="2">
        <v>500</v>
      </c>
      <c r="C19" s="5">
        <f t="shared" si="0"/>
        <v>5026.4</v>
      </c>
      <c r="D19" s="6">
        <v>341.406249999999</v>
      </c>
      <c r="E19" s="5">
        <f t="shared" si="1"/>
        <v>5097.49375</v>
      </c>
    </row>
    <row r="20" spans="1:5">
      <c r="A20" s="2" t="s">
        <v>23</v>
      </c>
      <c r="B20" s="2">
        <v>75</v>
      </c>
      <c r="C20" s="5">
        <f t="shared" si="0"/>
        <v>4820.6</v>
      </c>
      <c r="D20" s="6">
        <v>114.84375</v>
      </c>
      <c r="E20" s="5">
        <f t="shared" si="1"/>
        <v>4931.53749999999</v>
      </c>
    </row>
    <row r="21" spans="1:5">
      <c r="A21" s="2" t="s">
        <v>24</v>
      </c>
      <c r="B21" s="2">
        <v>-425</v>
      </c>
      <c r="C21" s="5">
        <f t="shared" si="0"/>
        <v>4114.8</v>
      </c>
      <c r="D21" s="4">
        <v>-369.53125</v>
      </c>
      <c r="E21" s="5">
        <f t="shared" si="1"/>
        <v>4281.20624999999</v>
      </c>
    </row>
    <row r="22" spans="1:5">
      <c r="A22" s="2" t="s">
        <v>25</v>
      </c>
      <c r="B22" s="2">
        <v>425</v>
      </c>
      <c r="C22" s="5">
        <f t="shared" si="0"/>
        <v>4259</v>
      </c>
      <c r="D22" s="6">
        <v>541.406249999999</v>
      </c>
      <c r="E22" s="5">
        <f t="shared" si="1"/>
        <v>4541.81249999999</v>
      </c>
    </row>
    <row r="23" spans="1:5">
      <c r="A23" s="2" t="s">
        <v>26</v>
      </c>
      <c r="B23" s="2">
        <v>-475</v>
      </c>
      <c r="C23" s="5">
        <f t="shared" si="0"/>
        <v>3503.2</v>
      </c>
      <c r="D23" s="4">
        <v>-183.593749999999</v>
      </c>
      <c r="E23" s="5">
        <f t="shared" si="1"/>
        <v>4077.41874999999</v>
      </c>
    </row>
    <row r="24" spans="1:5">
      <c r="A24" s="2" t="s">
        <v>27</v>
      </c>
      <c r="B24" s="2">
        <v>-400</v>
      </c>
      <c r="C24" s="5">
        <f t="shared" si="0"/>
        <v>2822.4</v>
      </c>
      <c r="D24" s="4">
        <v>-752.343749999999</v>
      </c>
      <c r="E24" s="5">
        <f t="shared" si="1"/>
        <v>3044.275</v>
      </c>
    </row>
    <row r="25" spans="1:5">
      <c r="A25" s="2" t="s">
        <v>28</v>
      </c>
      <c r="B25" s="2">
        <v>725</v>
      </c>
      <c r="C25" s="5">
        <f t="shared" si="0"/>
        <v>3266.6</v>
      </c>
      <c r="D25" s="6">
        <v>600.781249999999</v>
      </c>
      <c r="E25" s="5">
        <f t="shared" si="1"/>
        <v>3364.25624999999</v>
      </c>
    </row>
    <row r="26" spans="1:5">
      <c r="A26" s="2" t="s">
        <v>22</v>
      </c>
      <c r="B26" s="2">
        <v>-50</v>
      </c>
      <c r="C26" s="5">
        <f t="shared" si="0"/>
        <v>2935.8</v>
      </c>
      <c r="D26" s="4">
        <v>-83.5937500000001</v>
      </c>
      <c r="E26" s="5">
        <f t="shared" si="1"/>
        <v>2999.86249999999</v>
      </c>
    </row>
    <row r="27" spans="1:5">
      <c r="A27" s="2" t="s">
        <v>23</v>
      </c>
      <c r="B27" s="2">
        <v>-450</v>
      </c>
      <c r="C27" s="5">
        <f t="shared" si="0"/>
        <v>2205</v>
      </c>
      <c r="D27" s="4">
        <v>-461.71875</v>
      </c>
      <c r="E27" s="5">
        <f t="shared" si="1"/>
        <v>2257.34374999999</v>
      </c>
    </row>
    <row r="28" spans="1:5">
      <c r="A28" s="2" t="s">
        <v>24</v>
      </c>
      <c r="B28" s="2">
        <v>425</v>
      </c>
      <c r="C28" s="5">
        <f t="shared" si="0"/>
        <v>2349.2</v>
      </c>
      <c r="D28" s="6">
        <v>441.40625</v>
      </c>
      <c r="E28" s="5">
        <f t="shared" si="1"/>
        <v>2417.94999999999</v>
      </c>
    </row>
    <row r="29" spans="1:5">
      <c r="A29" s="2" t="s">
        <v>25</v>
      </c>
      <c r="B29" s="2">
        <v>725</v>
      </c>
      <c r="C29" s="5">
        <f t="shared" si="0"/>
        <v>2793.4</v>
      </c>
      <c r="D29" s="6">
        <v>533.59375</v>
      </c>
      <c r="E29" s="5">
        <f t="shared" si="1"/>
        <v>2670.74374999999</v>
      </c>
    </row>
    <row r="30" spans="1:5">
      <c r="A30" s="2" t="s">
        <v>26</v>
      </c>
      <c r="B30" s="2">
        <v>-25</v>
      </c>
      <c r="C30" s="5">
        <f t="shared" si="0"/>
        <v>2487.59999999999</v>
      </c>
      <c r="D30" s="4">
        <v>-110.15625</v>
      </c>
      <c r="E30" s="5">
        <f t="shared" si="1"/>
        <v>2279.78749999999</v>
      </c>
    </row>
    <row r="31" spans="1:5">
      <c r="A31" s="2" t="s">
        <v>22</v>
      </c>
      <c r="B31" s="2">
        <v>100</v>
      </c>
      <c r="C31" s="5">
        <f t="shared" si="0"/>
        <v>2306.79999999999</v>
      </c>
      <c r="D31" s="6">
        <v>8.59374999999997</v>
      </c>
      <c r="E31" s="5">
        <f t="shared" si="1"/>
        <v>2007.58124999999</v>
      </c>
    </row>
    <row r="32" spans="1:5">
      <c r="A32" s="2" t="s">
        <v>23</v>
      </c>
      <c r="B32" s="2">
        <v>-125</v>
      </c>
      <c r="C32" s="5">
        <f t="shared" si="0"/>
        <v>1900.99999999999</v>
      </c>
      <c r="D32" s="6">
        <v>50.78125</v>
      </c>
      <c r="E32" s="5">
        <f t="shared" si="1"/>
        <v>1777.56249999999</v>
      </c>
    </row>
    <row r="33" spans="1:5">
      <c r="A33" s="2" t="s">
        <v>22</v>
      </c>
      <c r="B33" s="2">
        <v>275</v>
      </c>
      <c r="C33" s="5">
        <f t="shared" si="0"/>
        <v>1895.19999999999</v>
      </c>
      <c r="D33" s="6">
        <v>433.593749999999</v>
      </c>
      <c r="E33" s="5">
        <f t="shared" si="1"/>
        <v>1930.35624999999</v>
      </c>
    </row>
    <row r="34" spans="1:5">
      <c r="A34" s="2" t="s">
        <v>23</v>
      </c>
      <c r="B34" s="2">
        <v>-625</v>
      </c>
      <c r="C34" s="5">
        <f>C33+B34-280.8</f>
        <v>989.399999999995</v>
      </c>
      <c r="D34" s="4">
        <v>-660.156249999999</v>
      </c>
      <c r="E34" s="5">
        <f t="shared" si="1"/>
        <v>989.399999999993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workbookViewId="0">
      <selection activeCell="B2" sqref="B2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82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2026-01-16T22:14:28Z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