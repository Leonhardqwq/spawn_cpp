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80" activeTab="1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44525"/>
</workbook>
</file>

<file path=xl/sharedStrings.xml><?xml version="1.0" encoding="utf-8"?>
<sst xmlns="http://schemas.openxmlformats.org/spreadsheetml/2006/main" count="228" uniqueCount="72">
  <si>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</si>
  <si>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</si>
  <si>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</si>
  <si>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</si>
  <si>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</si>
  <si>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</si>
  <si>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</si>
  <si>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</si>
  <si>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</si>
  <si>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</si>
  <si>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</si>
  <si>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</si>
  <si>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</si>
  <si>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</si>
  <si>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</si>
  <si>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</si>
  <si>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</si>
  <si>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</si>
  <si>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</si>
  <si>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</si>
  <si>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</si>
  <si>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</si>
  <si>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</si>
  <si>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</si>
  <si>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</si>
  <si>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</si>
  <si>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</si>
  <si>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</si>
  <si>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</si>
  <si>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</si>
  <si>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</si>
  <si>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阳光</t>
  </si>
  <si>
    <t>阳光变化</t>
  </si>
  <si>
    <t>阳光变化 去南瓜</t>
  </si>
  <si>
    <t>dlt 去后场南瓜</t>
  </si>
  <si>
    <t>前场南瓜数</t>
  </si>
  <si>
    <t>后场南瓜数</t>
  </si>
  <si>
    <t>红眼数</t>
  </si>
  <si>
    <t>橄榄数</t>
  </si>
  <si>
    <t>2000f</t>
  </si>
  <si>
    <t>/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</si>
  <si>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</si>
  <si>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</si>
  <si>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</si>
  <si>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</si>
  <si>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</si>
  <si>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</si>
  <si>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</si>
  <si>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</si>
  <si>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</si>
  <si>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</si>
  <si>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</si>
  <si>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</si>
  <si>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</si>
  <si>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</si>
  <si>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</si>
  <si>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</si>
  <si>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</si>
  <si>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红眼:橄榄</t>
  </si>
  <si>
    <t>橄榄:气球</t>
  </si>
  <si>
    <t>红眼:密度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</si>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</sst>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28" applyNumberFormat="0" applyAlignment="0" applyProtection="0">
      <alignment vertical="center"/>
    </xf>
    <xf numFmtId="0" fontId="16" fillId="12" borderId="24" applyNumberFormat="0" applyAlignment="0" applyProtection="0">
      <alignment vertical="center"/>
    </xf>
    <xf numFmtId="0" fontId="17" fillId="13" borderId="29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4000</c:v>
                </c:pt>
                <c:pt idx="1">
                  <c:v>4076.94</c:v>
                </c:pt>
                <c:pt idx="2">
                  <c:v>4078.88</c:v>
                </c:pt>
                <c:pt idx="3">
                  <c:v>3940.82</c:v>
                </c:pt>
                <c:pt idx="4">
                  <c:v>3542.76</c:v>
                </c:pt>
                <c:pt idx="5">
                  <c:v>3624.7</c:v>
                </c:pt>
                <c:pt idx="6">
                  <c:v>3841.64</c:v>
                </c:pt>
                <c:pt idx="7">
                  <c:v>3223.58</c:v>
                </c:pt>
                <c:pt idx="8">
                  <c:v>2730.52</c:v>
                </c:pt>
                <c:pt idx="9">
                  <c:v>2777.46</c:v>
                </c:pt>
                <c:pt idx="10">
                  <c:v>2624.4</c:v>
                </c:pt>
                <c:pt idx="11">
                  <c:v>3106.34</c:v>
                </c:pt>
                <c:pt idx="12">
                  <c:v>3478.28</c:v>
                </c:pt>
                <c:pt idx="13">
                  <c:v>3405.22</c:v>
                </c:pt>
                <c:pt idx="14">
                  <c:v>3927.16</c:v>
                </c:pt>
                <c:pt idx="15">
                  <c:v>4479.1</c:v>
                </c:pt>
                <c:pt idx="16">
                  <c:v>4051.04</c:v>
                </c:pt>
                <c:pt idx="17">
                  <c:v>4022.98</c:v>
                </c:pt>
                <c:pt idx="18">
                  <c:v>3894.92</c:v>
                </c:pt>
                <c:pt idx="19">
                  <c:v>3201.86</c:v>
                </c:pt>
                <c:pt idx="20">
                  <c:v>3518.8</c:v>
                </c:pt>
                <c:pt idx="21">
                  <c:v>2860.74</c:v>
                </c:pt>
                <c:pt idx="22">
                  <c:v>2792.68</c:v>
                </c:pt>
                <c:pt idx="23">
                  <c:v>2449.62</c:v>
                </c:pt>
                <c:pt idx="24">
                  <c:v>2976.56</c:v>
                </c:pt>
                <c:pt idx="25">
                  <c:v>3383.5</c:v>
                </c:pt>
                <c:pt idx="26">
                  <c:v>2765.44</c:v>
                </c:pt>
                <c:pt idx="27">
                  <c:v>3142.38</c:v>
                </c:pt>
                <c:pt idx="28">
                  <c:v>3044.32</c:v>
                </c:pt>
                <c:pt idx="29">
                  <c:v>3031.26</c:v>
                </c:pt>
                <c:pt idx="30">
                  <c:v>3028.2</c:v>
                </c:pt>
                <c:pt idx="31">
                  <c:v>3370.14</c:v>
                </c:pt>
                <c:pt idx="32">
                  <c:v>2897.08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4000</c:v>
                </c:pt>
                <c:pt idx="1">
                  <c:v>4157.72125</c:v>
                </c:pt>
                <c:pt idx="2">
                  <c:v>4138.255</c:v>
                </c:pt>
                <c:pt idx="3">
                  <c:v>4010.35125</c:v>
                </c:pt>
                <c:pt idx="4">
                  <c:v>3573.6975</c:v>
                </c:pt>
                <c:pt idx="5">
                  <c:v>3510.48125</c:v>
                </c:pt>
                <c:pt idx="6">
                  <c:v>3675.7025</c:v>
                </c:pt>
                <c:pt idx="7">
                  <c:v>2980.61125</c:v>
                </c:pt>
                <c:pt idx="8">
                  <c:v>2420.2075</c:v>
                </c:pt>
                <c:pt idx="9">
                  <c:v>2317.30375</c:v>
                </c:pt>
                <c:pt idx="10">
                  <c:v>2199.7125</c:v>
                </c:pt>
                <c:pt idx="11">
                  <c:v>2772.74625</c:v>
                </c:pt>
                <c:pt idx="12">
                  <c:v>3026.7175</c:v>
                </c:pt>
                <c:pt idx="13">
                  <c:v>2931.31375</c:v>
                </c:pt>
                <c:pt idx="14">
                  <c:v>3326.535</c:v>
                </c:pt>
                <c:pt idx="15">
                  <c:v>3592.69375</c:v>
                </c:pt>
                <c:pt idx="16">
                  <c:v>3182.29</c:v>
                </c:pt>
                <c:pt idx="17">
                  <c:v>3036.57375</c:v>
                </c:pt>
                <c:pt idx="18">
                  <c:v>2833.045</c:v>
                </c:pt>
                <c:pt idx="19">
                  <c:v>2316.39125</c:v>
                </c:pt>
                <c:pt idx="20">
                  <c:v>2660.05</c:v>
                </c:pt>
                <c:pt idx="21">
                  <c:v>2217.45875</c:v>
                </c:pt>
                <c:pt idx="22">
                  <c:v>2153.6175</c:v>
                </c:pt>
                <c:pt idx="23">
                  <c:v>1930.40125</c:v>
                </c:pt>
                <c:pt idx="24">
                  <c:v>2586.2475</c:v>
                </c:pt>
                <c:pt idx="25">
                  <c:v>2955.21875</c:v>
                </c:pt>
                <c:pt idx="26">
                  <c:v>2559.5025</c:v>
                </c:pt>
                <c:pt idx="27">
                  <c:v>2794.41125</c:v>
                </c:pt>
                <c:pt idx="28">
                  <c:v>2629.6325</c:v>
                </c:pt>
                <c:pt idx="29">
                  <c:v>2751.10375</c:v>
                </c:pt>
                <c:pt idx="30">
                  <c:v>2993.5125</c:v>
                </c:pt>
                <c:pt idx="31">
                  <c:v>3463.42125</c:v>
                </c:pt>
                <c:pt idx="32">
                  <c:v>2897.08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55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270</c:v>
                </c:pt>
                <c:pt idx="1">
                  <c:v>195</c:v>
                </c:pt>
                <c:pt idx="2">
                  <c:v>55</c:v>
                </c:pt>
                <c:pt idx="3">
                  <c:v>-205</c:v>
                </c:pt>
                <c:pt idx="4">
                  <c:v>275</c:v>
                </c:pt>
                <c:pt idx="5">
                  <c:v>410</c:v>
                </c:pt>
                <c:pt idx="6">
                  <c:v>-425</c:v>
                </c:pt>
                <c:pt idx="7">
                  <c:v>-300</c:v>
                </c:pt>
                <c:pt idx="8">
                  <c:v>240</c:v>
                </c:pt>
                <c:pt idx="9">
                  <c:v>40</c:v>
                </c:pt>
                <c:pt idx="10">
                  <c:v>675</c:v>
                </c:pt>
                <c:pt idx="11">
                  <c:v>565</c:v>
                </c:pt>
                <c:pt idx="12">
                  <c:v>120</c:v>
                </c:pt>
                <c:pt idx="13">
                  <c:v>715</c:v>
                </c:pt>
                <c:pt idx="14">
                  <c:v>745</c:v>
                </c:pt>
                <c:pt idx="15">
                  <c:v>-235</c:v>
                </c:pt>
                <c:pt idx="16">
                  <c:v>165</c:v>
                </c:pt>
                <c:pt idx="17">
                  <c:v>65</c:v>
                </c:pt>
                <c:pt idx="18">
                  <c:v>-500</c:v>
                </c:pt>
                <c:pt idx="19">
                  <c:v>510</c:v>
                </c:pt>
                <c:pt idx="20">
                  <c:v>-465</c:v>
                </c:pt>
                <c:pt idx="21">
                  <c:v>125</c:v>
                </c:pt>
                <c:pt idx="22">
                  <c:v>-150</c:v>
                </c:pt>
                <c:pt idx="23">
                  <c:v>720</c:v>
                </c:pt>
                <c:pt idx="24">
                  <c:v>600</c:v>
                </c:pt>
                <c:pt idx="25">
                  <c:v>-425</c:v>
                </c:pt>
                <c:pt idx="26">
                  <c:v>570</c:v>
                </c:pt>
                <c:pt idx="27">
                  <c:v>95</c:v>
                </c:pt>
                <c:pt idx="28">
                  <c:v>180</c:v>
                </c:pt>
                <c:pt idx="29">
                  <c:v>190</c:v>
                </c:pt>
                <c:pt idx="30">
                  <c:v>535</c:v>
                </c:pt>
                <c:pt idx="31">
                  <c:v>-280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350.78125</c:v>
                </c:pt>
                <c:pt idx="1">
                  <c:v>173.593749999999</c:v>
                </c:pt>
                <c:pt idx="2">
                  <c:v>65.15625</c:v>
                </c:pt>
                <c:pt idx="3">
                  <c:v>-243.59375</c:v>
                </c:pt>
                <c:pt idx="4">
                  <c:v>129.84375</c:v>
                </c:pt>
                <c:pt idx="5">
                  <c:v>358.28125</c:v>
                </c:pt>
                <c:pt idx="6">
                  <c:v>-502.03125</c:v>
                </c:pt>
                <c:pt idx="7">
                  <c:v>-367.34375</c:v>
                </c:pt>
                <c:pt idx="8">
                  <c:v>90.1562499999999</c:v>
                </c:pt>
                <c:pt idx="9">
                  <c:v>75.46875</c:v>
                </c:pt>
                <c:pt idx="10">
                  <c:v>766.09375</c:v>
                </c:pt>
                <c:pt idx="11">
                  <c:v>447.03125</c:v>
                </c:pt>
                <c:pt idx="12">
                  <c:v>97.65625</c:v>
                </c:pt>
                <c:pt idx="13">
                  <c:v>588.28125</c:v>
                </c:pt>
                <c:pt idx="14">
                  <c:v>459.21875</c:v>
                </c:pt>
                <c:pt idx="15">
                  <c:v>-217.343749999999</c:v>
                </c:pt>
                <c:pt idx="16">
                  <c:v>47.3437499999999</c:v>
                </c:pt>
                <c:pt idx="17">
                  <c:v>-10.46875</c:v>
                </c:pt>
                <c:pt idx="18">
                  <c:v>-323.593749999999</c:v>
                </c:pt>
                <c:pt idx="19">
                  <c:v>536.71875</c:v>
                </c:pt>
                <c:pt idx="20">
                  <c:v>-249.531249999999</c:v>
                </c:pt>
                <c:pt idx="21">
                  <c:v>129.218749999999</c:v>
                </c:pt>
                <c:pt idx="22">
                  <c:v>-30.1562500000001</c:v>
                </c:pt>
                <c:pt idx="23">
                  <c:v>848.90625</c:v>
                </c:pt>
                <c:pt idx="24">
                  <c:v>562.03125</c:v>
                </c:pt>
                <c:pt idx="25">
                  <c:v>-202.65625</c:v>
                </c:pt>
                <c:pt idx="26">
                  <c:v>427.96875</c:v>
                </c:pt>
                <c:pt idx="27">
                  <c:v>28.2812499999997</c:v>
                </c:pt>
                <c:pt idx="28">
                  <c:v>314.531249999999</c:v>
                </c:pt>
                <c:pt idx="29">
                  <c:v>435.468749999999</c:v>
                </c:pt>
                <c:pt idx="30">
                  <c:v>662.96875</c:v>
                </c:pt>
                <c:pt idx="31">
                  <c:v>-373.28125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657090" y="236220"/>
        <a:ext cx="542861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678045" y="3356610"/>
        <a:ext cx="541464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ref="A1:W33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120" zoomScaleNormal="120" workbookViewId="0">
      <selection activeCell="N38" sqref="N38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6384" width="9" style="3"/>
  </cols>
  <sheetData>
    <row r="1" spans="1:22">
      <c r="A1" s="2" t="s">
        <v>0</v>
      </c>
      <c r="B1" s="2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 spans="1:22">
      <c r="A2" s="2" t="s">
        <v>22</v>
      </c>
      <c r="B2" s="2">
        <v>270</v>
      </c>
      <c r="C2" s="44">
        <v>1</v>
      </c>
      <c r="D2" s="44">
        <v>0</v>
      </c>
      <c r="E2" s="44">
        <v>1</v>
      </c>
      <c r="F2" s="44">
        <v>0</v>
      </c>
      <c r="G2" s="44">
        <v>0</v>
      </c>
      <c r="H2" s="44">
        <v>0</v>
      </c>
      <c r="I2" s="44">
        <v>1</v>
      </c>
      <c r="J2" s="44">
        <v>0</v>
      </c>
      <c r="K2" s="44">
        <v>0</v>
      </c>
      <c r="L2" s="44">
        <v>0</v>
      </c>
      <c r="M2" s="44">
        <v>1</v>
      </c>
      <c r="N2" s="44">
        <v>0</v>
      </c>
      <c r="O2" s="44">
        <v>1</v>
      </c>
      <c r="P2" s="44">
        <v>0</v>
      </c>
      <c r="Q2" s="44">
        <v>1</v>
      </c>
      <c r="R2" s="44">
        <v>1</v>
      </c>
      <c r="S2" s="44">
        <v>0</v>
      </c>
      <c r="T2" s="44">
        <v>0</v>
      </c>
      <c r="U2" s="44">
        <v>1</v>
      </c>
      <c r="V2" s="44">
        <v>9401</v>
      </c>
    </row>
    <row r="3" spans="1:22">
      <c r="A3" s="2" t="s">
        <v>23</v>
      </c>
      <c r="B3" s="2">
        <v>195</v>
      </c>
      <c r="C3" s="44">
        <v>1</v>
      </c>
      <c r="D3" s="44">
        <v>0</v>
      </c>
      <c r="E3" s="44">
        <v>1</v>
      </c>
      <c r="F3" s="44">
        <v>0</v>
      </c>
      <c r="G3" s="44">
        <v>1</v>
      </c>
      <c r="H3" s="44">
        <v>1</v>
      </c>
      <c r="I3" s="44">
        <v>0</v>
      </c>
      <c r="J3" s="44">
        <v>0</v>
      </c>
      <c r="K3" s="44">
        <v>0</v>
      </c>
      <c r="L3" s="44">
        <v>0</v>
      </c>
      <c r="M3" s="44">
        <v>0</v>
      </c>
      <c r="N3" s="44">
        <v>0</v>
      </c>
      <c r="O3" s="44">
        <v>0</v>
      </c>
      <c r="P3" s="44">
        <v>0</v>
      </c>
      <c r="Q3" s="44">
        <v>1</v>
      </c>
      <c r="R3" s="44">
        <v>1</v>
      </c>
      <c r="S3" s="44">
        <v>1</v>
      </c>
      <c r="T3" s="44">
        <v>1</v>
      </c>
      <c r="U3" s="44">
        <v>1</v>
      </c>
      <c r="V3" s="44">
        <v>14901</v>
      </c>
    </row>
    <row r="4" spans="1:22">
      <c r="A4" s="2" t="s">
        <v>24</v>
      </c>
      <c r="B4" s="2">
        <v>55</v>
      </c>
      <c r="C4" s="44">
        <v>1</v>
      </c>
      <c r="D4" s="44">
        <v>0</v>
      </c>
      <c r="E4" s="44">
        <v>0</v>
      </c>
      <c r="F4" s="44">
        <v>1</v>
      </c>
      <c r="G4" s="44">
        <v>0</v>
      </c>
      <c r="H4" s="44">
        <v>1</v>
      </c>
      <c r="I4" s="44">
        <v>1</v>
      </c>
      <c r="J4" s="44">
        <v>0</v>
      </c>
      <c r="K4" s="44">
        <v>0</v>
      </c>
      <c r="L4" s="44">
        <v>0</v>
      </c>
      <c r="M4" s="44">
        <v>1</v>
      </c>
      <c r="N4" s="44">
        <v>0</v>
      </c>
      <c r="O4" s="44">
        <v>0</v>
      </c>
      <c r="P4" s="44">
        <v>0</v>
      </c>
      <c r="Q4" s="44">
        <v>0</v>
      </c>
      <c r="R4" s="44">
        <v>1</v>
      </c>
      <c r="S4" s="44">
        <v>0</v>
      </c>
      <c r="T4" s="44">
        <v>1</v>
      </c>
      <c r="U4" s="44">
        <v>1</v>
      </c>
      <c r="V4" s="44">
        <v>9901</v>
      </c>
    </row>
    <row r="5" spans="1:22">
      <c r="A5" s="2" t="s">
        <v>25</v>
      </c>
      <c r="B5" s="2">
        <v>-205</v>
      </c>
      <c r="C5" s="44">
        <v>1</v>
      </c>
      <c r="D5" s="44">
        <v>1</v>
      </c>
      <c r="E5" s="44">
        <v>0</v>
      </c>
      <c r="F5" s="44">
        <v>1</v>
      </c>
      <c r="G5" s="44">
        <v>1</v>
      </c>
      <c r="H5" s="44">
        <v>0</v>
      </c>
      <c r="I5" s="44">
        <v>1</v>
      </c>
      <c r="J5" s="44">
        <v>0</v>
      </c>
      <c r="K5" s="44">
        <v>0</v>
      </c>
      <c r="L5" s="44">
        <v>0</v>
      </c>
      <c r="M5" s="44">
        <v>1</v>
      </c>
      <c r="N5" s="44">
        <v>1</v>
      </c>
      <c r="O5" s="44">
        <v>1</v>
      </c>
      <c r="P5" s="44">
        <v>0</v>
      </c>
      <c r="Q5" s="44">
        <v>0</v>
      </c>
      <c r="R5" s="44">
        <v>0</v>
      </c>
      <c r="S5" s="44">
        <v>0</v>
      </c>
      <c r="T5" s="44">
        <v>0</v>
      </c>
      <c r="U5" s="44">
        <v>1</v>
      </c>
      <c r="V5" s="44">
        <v>13901</v>
      </c>
    </row>
    <row r="6" spans="1:22">
      <c r="A6" s="2" t="s">
        <v>26</v>
      </c>
      <c r="B6" s="2">
        <v>275</v>
      </c>
      <c r="C6" s="44">
        <v>1</v>
      </c>
      <c r="D6" s="44">
        <v>0</v>
      </c>
      <c r="E6" s="44">
        <v>1</v>
      </c>
      <c r="F6" s="44">
        <v>1</v>
      </c>
      <c r="G6" s="44">
        <v>0</v>
      </c>
      <c r="H6" s="44">
        <v>0</v>
      </c>
      <c r="I6" s="44">
        <v>1</v>
      </c>
      <c r="J6" s="44">
        <v>0</v>
      </c>
      <c r="K6" s="44">
        <v>0</v>
      </c>
      <c r="L6" s="44">
        <v>0</v>
      </c>
      <c r="M6" s="44">
        <v>1</v>
      </c>
      <c r="N6" s="44">
        <v>1</v>
      </c>
      <c r="O6" s="44">
        <v>1</v>
      </c>
      <c r="P6" s="44">
        <v>1</v>
      </c>
      <c r="Q6" s="44">
        <v>0</v>
      </c>
      <c r="R6" s="44">
        <v>0</v>
      </c>
      <c r="S6" s="44">
        <v>0</v>
      </c>
      <c r="T6" s="44">
        <v>1</v>
      </c>
      <c r="U6" s="44">
        <v>0</v>
      </c>
      <c r="V6" s="44">
        <v>12901</v>
      </c>
    </row>
    <row r="7" spans="1:22">
      <c r="A7" s="2" t="s">
        <v>27</v>
      </c>
      <c r="B7" s="2">
        <v>410</v>
      </c>
      <c r="C7" s="44">
        <v>1</v>
      </c>
      <c r="D7" s="44">
        <v>1</v>
      </c>
      <c r="E7" s="44">
        <v>0</v>
      </c>
      <c r="F7" s="44">
        <v>1</v>
      </c>
      <c r="G7" s="44">
        <v>1</v>
      </c>
      <c r="H7" s="44">
        <v>0</v>
      </c>
      <c r="I7" s="44">
        <v>1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1</v>
      </c>
      <c r="R7" s="44">
        <v>0</v>
      </c>
      <c r="S7" s="44">
        <v>1</v>
      </c>
      <c r="T7" s="44">
        <v>1</v>
      </c>
      <c r="U7" s="44">
        <v>1</v>
      </c>
      <c r="V7" s="44">
        <v>12901</v>
      </c>
    </row>
    <row r="8" spans="1:22">
      <c r="A8" s="2" t="s">
        <v>28</v>
      </c>
      <c r="B8" s="2">
        <v>-425</v>
      </c>
      <c r="C8" s="44">
        <v>1</v>
      </c>
      <c r="D8" s="44">
        <v>0</v>
      </c>
      <c r="E8" s="44">
        <v>0</v>
      </c>
      <c r="F8" s="44">
        <v>0</v>
      </c>
      <c r="G8" s="44">
        <v>0</v>
      </c>
      <c r="H8" s="44">
        <v>1</v>
      </c>
      <c r="I8" s="44">
        <v>1</v>
      </c>
      <c r="J8" s="44">
        <v>0</v>
      </c>
      <c r="K8" s="44">
        <v>0</v>
      </c>
      <c r="L8" s="44">
        <v>0</v>
      </c>
      <c r="M8" s="44">
        <v>1</v>
      </c>
      <c r="N8" s="44">
        <v>1</v>
      </c>
      <c r="O8" s="44">
        <v>1</v>
      </c>
      <c r="P8" s="44">
        <v>0</v>
      </c>
      <c r="Q8" s="44">
        <v>0</v>
      </c>
      <c r="R8" s="44">
        <v>1</v>
      </c>
      <c r="S8" s="44">
        <v>1</v>
      </c>
      <c r="T8" s="44">
        <v>0</v>
      </c>
      <c r="U8" s="44">
        <v>1</v>
      </c>
      <c r="V8" s="44">
        <v>11901</v>
      </c>
    </row>
    <row r="9" spans="1:22">
      <c r="A9" s="2" t="s">
        <v>29</v>
      </c>
      <c r="B9" s="2">
        <v>-300</v>
      </c>
      <c r="C9" s="44">
        <v>1</v>
      </c>
      <c r="D9" s="44">
        <v>1</v>
      </c>
      <c r="E9" s="44">
        <v>1</v>
      </c>
      <c r="F9" s="44">
        <v>0</v>
      </c>
      <c r="G9" s="44">
        <v>0</v>
      </c>
      <c r="H9" s="44">
        <v>1</v>
      </c>
      <c r="I9" s="44">
        <v>1</v>
      </c>
      <c r="J9" s="44">
        <v>0</v>
      </c>
      <c r="K9" s="44">
        <v>0</v>
      </c>
      <c r="L9" s="44">
        <v>0</v>
      </c>
      <c r="M9" s="44">
        <v>0</v>
      </c>
      <c r="N9" s="44">
        <v>1</v>
      </c>
      <c r="O9" s="44">
        <v>0</v>
      </c>
      <c r="P9" s="44">
        <v>0</v>
      </c>
      <c r="Q9" s="44">
        <v>1</v>
      </c>
      <c r="R9" s="44">
        <v>1</v>
      </c>
      <c r="S9" s="44">
        <v>0</v>
      </c>
      <c r="T9" s="44">
        <v>1</v>
      </c>
      <c r="U9" s="44">
        <v>1</v>
      </c>
      <c r="V9" s="44">
        <v>14901</v>
      </c>
    </row>
    <row r="10" spans="1:22">
      <c r="A10" s="2" t="s">
        <v>30</v>
      </c>
      <c r="B10" s="2">
        <v>240</v>
      </c>
      <c r="C10" s="44">
        <v>1</v>
      </c>
      <c r="D10" s="44">
        <v>1</v>
      </c>
      <c r="E10" s="44">
        <v>0</v>
      </c>
      <c r="F10" s="44">
        <v>1</v>
      </c>
      <c r="G10" s="44">
        <v>1</v>
      </c>
      <c r="H10" s="44">
        <v>1</v>
      </c>
      <c r="I10" s="44">
        <v>0</v>
      </c>
      <c r="J10" s="44">
        <v>0</v>
      </c>
      <c r="K10" s="44">
        <v>0</v>
      </c>
      <c r="L10" s="44">
        <v>0</v>
      </c>
      <c r="M10" s="44">
        <v>1</v>
      </c>
      <c r="N10" s="44">
        <v>0</v>
      </c>
      <c r="O10" s="44">
        <v>0</v>
      </c>
      <c r="P10" s="44">
        <v>0</v>
      </c>
      <c r="Q10" s="44">
        <v>1</v>
      </c>
      <c r="R10" s="44">
        <v>1</v>
      </c>
      <c r="S10" s="44">
        <v>0</v>
      </c>
      <c r="T10" s="44">
        <v>0</v>
      </c>
      <c r="U10" s="44">
        <v>1</v>
      </c>
      <c r="V10" s="44">
        <v>12901</v>
      </c>
    </row>
    <row r="11" spans="1:22">
      <c r="A11" s="2" t="s">
        <v>22</v>
      </c>
      <c r="B11" s="2">
        <v>40</v>
      </c>
      <c r="C11" s="44">
        <v>1</v>
      </c>
      <c r="D11" s="44">
        <v>0</v>
      </c>
      <c r="E11" s="44">
        <v>1</v>
      </c>
      <c r="F11" s="44">
        <v>0</v>
      </c>
      <c r="G11" s="44">
        <v>1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1</v>
      </c>
      <c r="O11" s="44">
        <v>1</v>
      </c>
      <c r="P11" s="44">
        <v>0</v>
      </c>
      <c r="Q11" s="44">
        <v>0</v>
      </c>
      <c r="R11" s="44">
        <v>1</v>
      </c>
      <c r="S11" s="44">
        <v>0</v>
      </c>
      <c r="T11" s="44">
        <v>1</v>
      </c>
      <c r="U11" s="44">
        <v>1</v>
      </c>
      <c r="V11" s="44">
        <v>14401</v>
      </c>
    </row>
    <row r="12" spans="1:22">
      <c r="A12" s="2" t="s">
        <v>23</v>
      </c>
      <c r="B12" s="2">
        <v>675</v>
      </c>
      <c r="C12" s="44">
        <v>1</v>
      </c>
      <c r="D12" s="44">
        <v>0</v>
      </c>
      <c r="E12" s="44">
        <v>0</v>
      </c>
      <c r="F12" s="44">
        <v>1</v>
      </c>
      <c r="G12" s="44">
        <v>1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1</v>
      </c>
      <c r="N12" s="44">
        <v>0</v>
      </c>
      <c r="O12" s="44">
        <v>0</v>
      </c>
      <c r="P12" s="44">
        <v>1</v>
      </c>
      <c r="Q12" s="44">
        <v>0</v>
      </c>
      <c r="R12" s="44">
        <v>1</v>
      </c>
      <c r="S12" s="44">
        <v>1</v>
      </c>
      <c r="T12" s="44">
        <v>1</v>
      </c>
      <c r="U12" s="44">
        <v>0</v>
      </c>
      <c r="V12" s="44">
        <v>11901</v>
      </c>
    </row>
    <row r="13" spans="1:22">
      <c r="A13" s="2" t="s">
        <v>24</v>
      </c>
      <c r="B13" s="2">
        <v>565</v>
      </c>
      <c r="C13" s="44">
        <v>1</v>
      </c>
      <c r="D13" s="44">
        <v>1</v>
      </c>
      <c r="E13" s="44">
        <v>1</v>
      </c>
      <c r="F13" s="44">
        <v>1</v>
      </c>
      <c r="G13" s="44">
        <v>1</v>
      </c>
      <c r="H13" s="44">
        <v>0</v>
      </c>
      <c r="I13" s="44">
        <v>1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1</v>
      </c>
      <c r="Q13" s="44">
        <v>0</v>
      </c>
      <c r="R13" s="44">
        <v>1</v>
      </c>
      <c r="S13" s="44">
        <v>1</v>
      </c>
      <c r="T13" s="44">
        <v>0</v>
      </c>
      <c r="U13" s="44">
        <v>0</v>
      </c>
      <c r="V13" s="44">
        <v>15401</v>
      </c>
    </row>
    <row r="14" spans="1:22">
      <c r="A14" s="2" t="s">
        <v>25</v>
      </c>
      <c r="B14" s="2">
        <v>120</v>
      </c>
      <c r="C14" s="44">
        <v>1</v>
      </c>
      <c r="D14" s="44">
        <v>1</v>
      </c>
      <c r="E14" s="44">
        <v>1</v>
      </c>
      <c r="F14" s="44">
        <v>1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1</v>
      </c>
      <c r="N14" s="44">
        <v>1</v>
      </c>
      <c r="O14" s="44">
        <v>0</v>
      </c>
      <c r="P14" s="44">
        <v>1</v>
      </c>
      <c r="Q14" s="44">
        <v>0</v>
      </c>
      <c r="R14" s="44">
        <v>1</v>
      </c>
      <c r="S14" s="44">
        <v>0</v>
      </c>
      <c r="T14" s="44">
        <v>0</v>
      </c>
      <c r="U14" s="44">
        <v>0</v>
      </c>
      <c r="V14" s="44">
        <v>12401</v>
      </c>
    </row>
    <row r="15" spans="1:22">
      <c r="A15" s="2" t="s">
        <v>26</v>
      </c>
      <c r="B15" s="2">
        <v>715</v>
      </c>
      <c r="C15" s="44">
        <v>1</v>
      </c>
      <c r="D15" s="44">
        <v>0</v>
      </c>
      <c r="E15" s="44">
        <v>0</v>
      </c>
      <c r="F15" s="44">
        <v>0</v>
      </c>
      <c r="G15" s="44">
        <v>1</v>
      </c>
      <c r="H15" s="44">
        <v>1</v>
      </c>
      <c r="I15" s="44">
        <v>0</v>
      </c>
      <c r="J15" s="44">
        <v>0</v>
      </c>
      <c r="K15" s="44">
        <v>0</v>
      </c>
      <c r="L15" s="44">
        <v>0</v>
      </c>
      <c r="M15" s="44">
        <v>1</v>
      </c>
      <c r="N15" s="44">
        <v>0</v>
      </c>
      <c r="O15" s="44">
        <v>1</v>
      </c>
      <c r="P15" s="44">
        <v>0</v>
      </c>
      <c r="Q15" s="44">
        <v>1</v>
      </c>
      <c r="R15" s="44">
        <v>1</v>
      </c>
      <c r="S15" s="44">
        <v>1</v>
      </c>
      <c r="T15" s="44">
        <v>1</v>
      </c>
      <c r="U15" s="44">
        <v>0</v>
      </c>
      <c r="V15" s="44">
        <v>12901</v>
      </c>
    </row>
    <row r="16" spans="1:22">
      <c r="A16" s="2" t="s">
        <v>27</v>
      </c>
      <c r="B16" s="2">
        <v>745</v>
      </c>
      <c r="C16" s="44">
        <v>1</v>
      </c>
      <c r="D16" s="44">
        <v>0</v>
      </c>
      <c r="E16" s="44">
        <v>0</v>
      </c>
      <c r="F16" s="44">
        <v>1</v>
      </c>
      <c r="G16" s="44">
        <v>1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1</v>
      </c>
      <c r="N16" s="44">
        <v>0</v>
      </c>
      <c r="O16" s="44">
        <v>1</v>
      </c>
      <c r="P16" s="44">
        <v>1</v>
      </c>
      <c r="Q16" s="44">
        <v>0</v>
      </c>
      <c r="R16" s="44">
        <v>1</v>
      </c>
      <c r="S16" s="44">
        <v>1</v>
      </c>
      <c r="T16" s="44">
        <v>0</v>
      </c>
      <c r="U16" s="44">
        <v>1</v>
      </c>
      <c r="V16" s="44">
        <v>12401</v>
      </c>
    </row>
    <row r="17" spans="1:22">
      <c r="A17" s="2" t="s">
        <v>22</v>
      </c>
      <c r="B17" s="2">
        <v>-235</v>
      </c>
      <c r="C17" s="44">
        <v>1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1</v>
      </c>
      <c r="J17" s="44">
        <v>0</v>
      </c>
      <c r="K17" s="44">
        <v>0</v>
      </c>
      <c r="L17" s="44">
        <v>0</v>
      </c>
      <c r="M17" s="44">
        <v>0</v>
      </c>
      <c r="N17" s="44">
        <v>1</v>
      </c>
      <c r="O17" s="44">
        <v>0</v>
      </c>
      <c r="P17" s="44">
        <v>0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>
        <v>9401</v>
      </c>
    </row>
    <row r="18" spans="1:22">
      <c r="A18" s="2" t="s">
        <v>23</v>
      </c>
      <c r="B18" s="2">
        <v>165</v>
      </c>
      <c r="C18" s="44">
        <v>1</v>
      </c>
      <c r="D18" s="44">
        <v>1</v>
      </c>
      <c r="E18" s="44">
        <v>1</v>
      </c>
      <c r="F18" s="44">
        <v>1</v>
      </c>
      <c r="G18" s="44">
        <v>0</v>
      </c>
      <c r="H18" s="44">
        <v>1</v>
      </c>
      <c r="I18" s="44">
        <v>1</v>
      </c>
      <c r="J18" s="44">
        <v>0</v>
      </c>
      <c r="K18" s="44">
        <v>0</v>
      </c>
      <c r="L18" s="44">
        <v>0</v>
      </c>
      <c r="M18" s="44">
        <v>0</v>
      </c>
      <c r="N18" s="44">
        <v>1</v>
      </c>
      <c r="O18" s="44">
        <v>0</v>
      </c>
      <c r="P18" s="44">
        <v>0</v>
      </c>
      <c r="Q18" s="44">
        <v>0</v>
      </c>
      <c r="R18" s="44">
        <v>1</v>
      </c>
      <c r="S18" s="44">
        <v>0</v>
      </c>
      <c r="T18" s="44">
        <v>1</v>
      </c>
      <c r="U18" s="44">
        <v>0</v>
      </c>
      <c r="V18" s="44">
        <v>14901</v>
      </c>
    </row>
    <row r="19" spans="1:22">
      <c r="A19" s="2" t="s">
        <v>24</v>
      </c>
      <c r="B19" s="2">
        <v>65</v>
      </c>
      <c r="C19" s="44">
        <v>1</v>
      </c>
      <c r="D19" s="44">
        <v>1</v>
      </c>
      <c r="E19" s="44">
        <v>1</v>
      </c>
      <c r="F19" s="44">
        <v>1</v>
      </c>
      <c r="G19" s="44">
        <v>0</v>
      </c>
      <c r="H19" s="44">
        <v>1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1</v>
      </c>
      <c r="O19" s="44">
        <v>1</v>
      </c>
      <c r="P19" s="44">
        <v>1</v>
      </c>
      <c r="Q19" s="44">
        <v>0</v>
      </c>
      <c r="R19" s="44">
        <v>1</v>
      </c>
      <c r="S19" s="44">
        <v>1</v>
      </c>
      <c r="T19" s="44">
        <v>0</v>
      </c>
      <c r="U19" s="44">
        <v>0</v>
      </c>
      <c r="V19" s="44">
        <v>15901</v>
      </c>
    </row>
    <row r="20" spans="1:22">
      <c r="A20" s="2" t="s">
        <v>25</v>
      </c>
      <c r="B20" s="2">
        <v>-500</v>
      </c>
      <c r="C20" s="44">
        <v>0</v>
      </c>
      <c r="D20" s="44">
        <v>0</v>
      </c>
      <c r="E20" s="44">
        <v>0</v>
      </c>
      <c r="F20" s="44">
        <v>1</v>
      </c>
      <c r="G20" s="44">
        <v>0</v>
      </c>
      <c r="H20" s="44">
        <v>1</v>
      </c>
      <c r="I20" s="44">
        <v>0</v>
      </c>
      <c r="J20" s="44">
        <v>0</v>
      </c>
      <c r="K20" s="44">
        <v>0</v>
      </c>
      <c r="L20" s="44">
        <v>0</v>
      </c>
      <c r="M20" s="44">
        <v>1</v>
      </c>
      <c r="N20" s="44">
        <v>1</v>
      </c>
      <c r="O20" s="44">
        <v>0</v>
      </c>
      <c r="P20" s="44">
        <v>1</v>
      </c>
      <c r="Q20" s="44">
        <v>1</v>
      </c>
      <c r="R20" s="44">
        <v>1</v>
      </c>
      <c r="S20" s="44">
        <v>0</v>
      </c>
      <c r="T20" s="44">
        <v>0</v>
      </c>
      <c r="U20" s="44">
        <v>1</v>
      </c>
      <c r="V20" s="44">
        <v>9401</v>
      </c>
    </row>
    <row r="21" spans="1:22">
      <c r="A21" s="2" t="s">
        <v>26</v>
      </c>
      <c r="B21" s="2">
        <v>510</v>
      </c>
      <c r="C21" s="44">
        <v>1</v>
      </c>
      <c r="D21" s="44">
        <v>1</v>
      </c>
      <c r="E21" s="44">
        <v>0</v>
      </c>
      <c r="F21" s="44">
        <v>1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1</v>
      </c>
      <c r="N21" s="44">
        <v>0</v>
      </c>
      <c r="O21" s="44">
        <v>0</v>
      </c>
      <c r="P21" s="44">
        <v>1</v>
      </c>
      <c r="Q21" s="44">
        <v>0</v>
      </c>
      <c r="R21" s="44">
        <v>1</v>
      </c>
      <c r="S21" s="44">
        <v>0</v>
      </c>
      <c r="T21" s="44">
        <v>1</v>
      </c>
      <c r="U21" s="44">
        <v>1</v>
      </c>
      <c r="V21" s="44">
        <v>9901</v>
      </c>
    </row>
    <row r="22" spans="1:22">
      <c r="A22" s="2" t="s">
        <v>22</v>
      </c>
      <c r="B22" s="2">
        <v>-465</v>
      </c>
      <c r="C22" s="44">
        <v>1</v>
      </c>
      <c r="D22" s="44">
        <v>1</v>
      </c>
      <c r="E22" s="44">
        <v>0</v>
      </c>
      <c r="F22" s="44">
        <v>1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1</v>
      </c>
      <c r="O22" s="44">
        <v>0</v>
      </c>
      <c r="P22" s="44">
        <v>1</v>
      </c>
      <c r="Q22" s="44">
        <v>1</v>
      </c>
      <c r="R22" s="44">
        <v>0</v>
      </c>
      <c r="S22" s="44">
        <v>1</v>
      </c>
      <c r="T22" s="44">
        <v>0</v>
      </c>
      <c r="U22" s="44">
        <v>1</v>
      </c>
      <c r="V22" s="44">
        <v>9901</v>
      </c>
    </row>
    <row r="23" spans="1:22">
      <c r="A23" s="2" t="s">
        <v>23</v>
      </c>
      <c r="B23" s="2">
        <v>125</v>
      </c>
      <c r="C23" s="44">
        <v>1</v>
      </c>
      <c r="D23" s="44">
        <v>0</v>
      </c>
      <c r="E23" s="44">
        <v>0</v>
      </c>
      <c r="F23" s="44">
        <v>1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1</v>
      </c>
      <c r="N23" s="44">
        <v>1</v>
      </c>
      <c r="O23" s="44">
        <v>1</v>
      </c>
      <c r="P23" s="44">
        <v>1</v>
      </c>
      <c r="Q23" s="44">
        <v>1</v>
      </c>
      <c r="R23" s="44">
        <v>1</v>
      </c>
      <c r="S23" s="44">
        <v>1</v>
      </c>
      <c r="T23" s="44">
        <v>0</v>
      </c>
      <c r="U23" s="44">
        <v>0</v>
      </c>
      <c r="V23" s="44">
        <v>9901</v>
      </c>
    </row>
    <row r="24" spans="1:22">
      <c r="A24" s="2" t="s">
        <v>24</v>
      </c>
      <c r="B24" s="2">
        <v>-150</v>
      </c>
      <c r="C24" s="44">
        <v>1</v>
      </c>
      <c r="D24" s="44">
        <v>0</v>
      </c>
      <c r="E24" s="44">
        <v>0</v>
      </c>
      <c r="F24" s="44">
        <v>0</v>
      </c>
      <c r="G24" s="44">
        <v>0</v>
      </c>
      <c r="H24" s="44">
        <v>1</v>
      </c>
      <c r="I24" s="44">
        <v>1</v>
      </c>
      <c r="J24" s="44">
        <v>0</v>
      </c>
      <c r="K24" s="44">
        <v>0</v>
      </c>
      <c r="L24" s="44">
        <v>0</v>
      </c>
      <c r="M24" s="44">
        <v>1</v>
      </c>
      <c r="N24" s="44">
        <v>1</v>
      </c>
      <c r="O24" s="44">
        <v>0</v>
      </c>
      <c r="P24" s="44">
        <v>1</v>
      </c>
      <c r="Q24" s="44">
        <v>1</v>
      </c>
      <c r="R24" s="44">
        <v>0</v>
      </c>
      <c r="S24" s="44">
        <v>1</v>
      </c>
      <c r="T24" s="44">
        <v>0</v>
      </c>
      <c r="U24" s="44">
        <v>0</v>
      </c>
      <c r="V24" s="44">
        <v>9901</v>
      </c>
    </row>
    <row r="25" spans="1:22">
      <c r="A25" s="2" t="s">
        <v>22</v>
      </c>
      <c r="B25" s="2">
        <v>720</v>
      </c>
      <c r="C25" s="44">
        <v>1</v>
      </c>
      <c r="D25" s="44">
        <v>1</v>
      </c>
      <c r="E25" s="44">
        <v>0</v>
      </c>
      <c r="F25" s="44">
        <v>1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1</v>
      </c>
      <c r="N25" s="44">
        <v>0</v>
      </c>
      <c r="O25" s="44">
        <v>0</v>
      </c>
      <c r="P25" s="44">
        <v>1</v>
      </c>
      <c r="Q25" s="44">
        <v>1</v>
      </c>
      <c r="R25" s="44">
        <v>1</v>
      </c>
      <c r="S25" s="44">
        <v>0</v>
      </c>
      <c r="T25" s="44">
        <v>1</v>
      </c>
      <c r="U25" s="44">
        <v>0</v>
      </c>
      <c r="V25" s="44">
        <v>8901</v>
      </c>
    </row>
    <row r="26" spans="1:22">
      <c r="A26" s="2" t="s">
        <v>23</v>
      </c>
      <c r="B26" s="2">
        <v>600</v>
      </c>
      <c r="C26" s="44">
        <v>1</v>
      </c>
      <c r="D26" s="44">
        <v>1</v>
      </c>
      <c r="E26" s="44">
        <v>0</v>
      </c>
      <c r="F26" s="44">
        <v>1</v>
      </c>
      <c r="G26" s="44">
        <v>0</v>
      </c>
      <c r="H26" s="44">
        <v>1</v>
      </c>
      <c r="I26" s="44">
        <v>0</v>
      </c>
      <c r="J26" s="44">
        <v>0</v>
      </c>
      <c r="K26" s="44">
        <v>0</v>
      </c>
      <c r="L26" s="44">
        <v>0</v>
      </c>
      <c r="M26" s="44">
        <v>1</v>
      </c>
      <c r="N26" s="44">
        <v>0</v>
      </c>
      <c r="O26" s="44">
        <v>1</v>
      </c>
      <c r="P26" s="44">
        <v>1</v>
      </c>
      <c r="Q26" s="44">
        <v>1</v>
      </c>
      <c r="R26" s="44">
        <v>0</v>
      </c>
      <c r="S26" s="44">
        <v>0</v>
      </c>
      <c r="T26" s="44">
        <v>0</v>
      </c>
      <c r="U26" s="44">
        <v>0</v>
      </c>
      <c r="V26" s="44">
        <v>9401</v>
      </c>
    </row>
    <row r="27" spans="1:22">
      <c r="A27" s="2" t="s">
        <v>22</v>
      </c>
      <c r="B27" s="2">
        <v>-425</v>
      </c>
      <c r="C27" s="44">
        <v>1</v>
      </c>
      <c r="D27" s="44">
        <v>1</v>
      </c>
      <c r="E27" s="44">
        <v>0</v>
      </c>
      <c r="F27" s="44">
        <v>0</v>
      </c>
      <c r="G27" s="44">
        <v>0</v>
      </c>
      <c r="H27" s="44">
        <v>1</v>
      </c>
      <c r="I27" s="44">
        <v>1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1</v>
      </c>
      <c r="R27" s="44">
        <v>1</v>
      </c>
      <c r="S27" s="44">
        <v>1</v>
      </c>
      <c r="T27" s="44">
        <v>0</v>
      </c>
      <c r="U27" s="44">
        <v>1</v>
      </c>
      <c r="V27" s="44">
        <v>9901</v>
      </c>
    </row>
    <row r="28" spans="1:22">
      <c r="A28" s="2" t="s">
        <v>23</v>
      </c>
      <c r="B28" s="2">
        <v>570</v>
      </c>
      <c r="C28" s="44">
        <v>1</v>
      </c>
      <c r="D28" s="44">
        <v>0</v>
      </c>
      <c r="E28" s="44">
        <v>1</v>
      </c>
      <c r="F28" s="44">
        <v>0</v>
      </c>
      <c r="G28" s="44">
        <v>1</v>
      </c>
      <c r="H28" s="44">
        <v>1</v>
      </c>
      <c r="I28" s="44">
        <v>1</v>
      </c>
      <c r="J28" s="44">
        <v>0</v>
      </c>
      <c r="K28" s="44">
        <v>0</v>
      </c>
      <c r="L28" s="44">
        <v>0</v>
      </c>
      <c r="M28" s="44">
        <v>1</v>
      </c>
      <c r="N28" s="44">
        <v>0</v>
      </c>
      <c r="O28" s="44">
        <v>1</v>
      </c>
      <c r="P28" s="44">
        <v>0</v>
      </c>
      <c r="Q28" s="44">
        <v>1</v>
      </c>
      <c r="R28" s="44">
        <v>1</v>
      </c>
      <c r="S28" s="44">
        <v>0</v>
      </c>
      <c r="T28" s="44">
        <v>0</v>
      </c>
      <c r="U28" s="44">
        <v>0</v>
      </c>
      <c r="V28" s="44">
        <v>13901</v>
      </c>
    </row>
    <row r="29" spans="1:22">
      <c r="A29" s="2" t="s">
        <v>24</v>
      </c>
      <c r="B29" s="2">
        <v>95</v>
      </c>
      <c r="C29" s="44">
        <v>1</v>
      </c>
      <c r="D29" s="44">
        <v>1</v>
      </c>
      <c r="E29" s="44">
        <v>0</v>
      </c>
      <c r="F29" s="44">
        <v>1</v>
      </c>
      <c r="G29" s="44">
        <v>0</v>
      </c>
      <c r="H29" s="44">
        <v>0</v>
      </c>
      <c r="I29" s="44">
        <v>1</v>
      </c>
      <c r="J29" s="44">
        <v>0</v>
      </c>
      <c r="K29" s="44">
        <v>0</v>
      </c>
      <c r="L29" s="44">
        <v>0</v>
      </c>
      <c r="M29" s="44">
        <v>0</v>
      </c>
      <c r="N29" s="44">
        <v>1</v>
      </c>
      <c r="O29" s="44">
        <v>0</v>
      </c>
      <c r="P29" s="44">
        <v>0</v>
      </c>
      <c r="Q29" s="44">
        <v>1</v>
      </c>
      <c r="R29" s="44">
        <v>0</v>
      </c>
      <c r="S29" s="44">
        <v>1</v>
      </c>
      <c r="T29" s="44">
        <v>1</v>
      </c>
      <c r="U29" s="44">
        <v>0</v>
      </c>
      <c r="V29" s="44">
        <v>10401</v>
      </c>
    </row>
    <row r="30" spans="1:22">
      <c r="A30" s="2" t="s">
        <v>22</v>
      </c>
      <c r="B30" s="2">
        <v>180</v>
      </c>
      <c r="C30" s="44">
        <v>1</v>
      </c>
      <c r="D30" s="44">
        <v>0</v>
      </c>
      <c r="E30" s="44">
        <v>0</v>
      </c>
      <c r="F30" s="44">
        <v>1</v>
      </c>
      <c r="G30" s="44">
        <v>0</v>
      </c>
      <c r="H30" s="44">
        <v>1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1</v>
      </c>
      <c r="O30" s="44">
        <v>0</v>
      </c>
      <c r="P30" s="44">
        <v>1</v>
      </c>
      <c r="Q30" s="44">
        <v>1</v>
      </c>
      <c r="R30" s="44">
        <v>1</v>
      </c>
      <c r="S30" s="44">
        <v>0</v>
      </c>
      <c r="T30" s="44">
        <v>1</v>
      </c>
      <c r="U30" s="44">
        <v>0</v>
      </c>
      <c r="V30" s="44">
        <v>9901</v>
      </c>
    </row>
    <row r="31" spans="1:22">
      <c r="A31" s="2" t="s">
        <v>23</v>
      </c>
      <c r="B31" s="2">
        <v>190</v>
      </c>
      <c r="C31" s="44">
        <v>0</v>
      </c>
      <c r="D31" s="44">
        <v>1</v>
      </c>
      <c r="E31" s="44">
        <v>0</v>
      </c>
      <c r="F31" s="44">
        <v>1</v>
      </c>
      <c r="G31" s="44">
        <v>0</v>
      </c>
      <c r="H31" s="44">
        <v>1</v>
      </c>
      <c r="I31" s="44">
        <v>1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1</v>
      </c>
      <c r="R31" s="44">
        <v>1</v>
      </c>
      <c r="S31" s="44">
        <v>1</v>
      </c>
      <c r="T31" s="44">
        <v>1</v>
      </c>
      <c r="U31" s="44">
        <v>0</v>
      </c>
      <c r="V31" s="44">
        <v>10401</v>
      </c>
    </row>
    <row r="32" spans="1:22">
      <c r="A32" s="2" t="s">
        <v>24</v>
      </c>
      <c r="B32" s="2">
        <v>535</v>
      </c>
      <c r="C32" s="44">
        <v>1</v>
      </c>
      <c r="D32" s="44">
        <v>0</v>
      </c>
      <c r="E32" s="44">
        <v>0</v>
      </c>
      <c r="F32" s="44">
        <v>1</v>
      </c>
      <c r="G32" s="44">
        <v>1</v>
      </c>
      <c r="H32" s="44">
        <v>0</v>
      </c>
      <c r="I32" s="44">
        <v>1</v>
      </c>
      <c r="J32" s="44">
        <v>0</v>
      </c>
      <c r="K32" s="44">
        <v>0</v>
      </c>
      <c r="L32" s="44">
        <v>0</v>
      </c>
      <c r="M32" s="44">
        <v>1</v>
      </c>
      <c r="N32" s="44">
        <v>0</v>
      </c>
      <c r="O32" s="44">
        <v>1</v>
      </c>
      <c r="P32" s="44">
        <v>0</v>
      </c>
      <c r="Q32" s="44">
        <v>1</v>
      </c>
      <c r="R32" s="44">
        <v>1</v>
      </c>
      <c r="S32" s="44">
        <v>0</v>
      </c>
      <c r="T32" s="44">
        <v>0</v>
      </c>
      <c r="U32" s="44">
        <v>0</v>
      </c>
      <c r="V32" s="44">
        <v>9901</v>
      </c>
    </row>
    <row r="33" spans="1:22">
      <c r="A33" s="2" t="s">
        <v>22</v>
      </c>
      <c r="B33" s="2">
        <v>-280</v>
      </c>
      <c r="C33" s="44">
        <v>1</v>
      </c>
      <c r="D33" s="44">
        <v>1</v>
      </c>
      <c r="E33" s="44">
        <v>0</v>
      </c>
      <c r="F33" s="44">
        <v>0</v>
      </c>
      <c r="G33" s="44">
        <v>0</v>
      </c>
      <c r="H33" s="44">
        <v>1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1</v>
      </c>
      <c r="O33" s="44">
        <v>0</v>
      </c>
      <c r="P33" s="44">
        <v>0</v>
      </c>
      <c r="Q33" s="44">
        <v>1</v>
      </c>
      <c r="R33" s="44">
        <v>0</v>
      </c>
      <c r="S33" s="44">
        <v>1</v>
      </c>
      <c r="T33" s="44">
        <v>1</v>
      </c>
      <c r="U33" s="44">
        <v>1</v>
      </c>
      <c r="V33" s="44">
        <v>11401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5"/>
  <sheetViews>
    <sheetView tabSelected="1" zoomScale="160" zoomScaleNormal="160" workbookViewId="0">
      <selection activeCell="L39" sqref="L39"/>
    </sheetView>
  </sheetViews>
  <sheetFormatPr defaultColWidth="9" defaultRowHeight="13.5"/>
  <cols>
    <col min="1" max="1" width="6.375" style="3" customWidth="1"/>
    <col min="2" max="2" width="5.375" style="13" customWidth="1"/>
    <col min="3" max="3" width="8.875" style="13" customWidth="1"/>
    <col min="4" max="4" width="16.125" style="13" customWidth="1"/>
    <col min="5" max="5" width="15.25" style="13" hidden="1" customWidth="1"/>
    <col min="6" max="7" width="10.875" style="13" customWidth="1"/>
    <col min="8" max="8" width="7" style="13" customWidth="1"/>
    <col min="9" max="9" width="5.125" style="13" hidden="1" customWidth="1"/>
    <col min="10" max="10" width="7" style="13" customWidth="1"/>
    <col min="11" max="11" width="9" style="3" hidden="1" customWidth="1"/>
    <col min="12" max="16384" width="9" style="13"/>
  </cols>
  <sheetData>
    <row r="1" ht="14.25" spans="1:11">
      <c r="A1" s="14" t="s">
        <v>0</v>
      </c>
      <c r="B1" s="15" t="s">
        <v>31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36</v>
      </c>
      <c r="H1" s="16" t="s">
        <v>37</v>
      </c>
      <c r="I1" s="16"/>
      <c r="J1" s="32" t="s">
        <v>38</v>
      </c>
      <c r="K1" s="33"/>
    </row>
    <row r="2" spans="1:11">
      <c r="A2" s="17" t="s">
        <v>39</v>
      </c>
      <c r="B2" s="18">
        <v>8000</v>
      </c>
      <c r="C2" s="19" t="s">
        <v>40</v>
      </c>
      <c r="D2" s="20" t="s">
        <v>40</v>
      </c>
      <c r="E2" s="20"/>
      <c r="F2" s="19" t="s">
        <v>40</v>
      </c>
      <c r="G2" s="19" t="s">
        <v>40</v>
      </c>
      <c r="H2" s="19" t="s">
        <v>40</v>
      </c>
      <c r="I2" s="34" t="s">
        <v>20</v>
      </c>
      <c r="J2" s="35" t="s">
        <v>40</v>
      </c>
      <c r="K2" s="36" t="s">
        <v>7</v>
      </c>
    </row>
    <row r="3" spans="1:11">
      <c r="A3" s="21" t="s">
        <v>22</v>
      </c>
      <c r="B3" s="22">
        <v>8270</v>
      </c>
      <c r="C3" s="23">
        <f>B3-B2</f>
        <v>270</v>
      </c>
      <c r="D3" s="24">
        <f>C3+125*(G3+F3)</f>
        <v>270</v>
      </c>
      <c r="E3" s="24">
        <f>C3+125*(G3)</f>
        <v>270</v>
      </c>
      <c r="F3" s="23"/>
      <c r="G3" s="23"/>
      <c r="H3" s="23">
        <v>82</v>
      </c>
      <c r="I3" s="37">
        <v>1</v>
      </c>
      <c r="J3" s="38">
        <v>0</v>
      </c>
      <c r="K3" s="36">
        <v>0</v>
      </c>
    </row>
    <row r="4" spans="1:11">
      <c r="A4" s="21" t="s">
        <v>23</v>
      </c>
      <c r="B4" s="22">
        <v>8465</v>
      </c>
      <c r="C4" s="23">
        <f t="shared" ref="C4:C34" si="0">B4-B3</f>
        <v>195</v>
      </c>
      <c r="D4" s="24">
        <f t="shared" ref="D4:D34" si="1">C4+125*(G4+F4)</f>
        <v>195</v>
      </c>
      <c r="E4" s="24">
        <f t="shared" ref="E4:E34" si="2">C4+125*(G4)</f>
        <v>195</v>
      </c>
      <c r="F4" s="23"/>
      <c r="G4" s="23"/>
      <c r="H4" s="23">
        <v>59</v>
      </c>
      <c r="I4" s="37">
        <v>1</v>
      </c>
      <c r="J4" s="38">
        <v>133</v>
      </c>
      <c r="K4" s="36">
        <v>1</v>
      </c>
    </row>
    <row r="5" spans="1:11">
      <c r="A5" s="21" t="s">
        <v>24</v>
      </c>
      <c r="B5" s="22">
        <v>8395</v>
      </c>
      <c r="C5" s="23">
        <f t="shared" si="0"/>
        <v>-70</v>
      </c>
      <c r="D5" s="24">
        <f t="shared" si="1"/>
        <v>55</v>
      </c>
      <c r="E5" s="24">
        <f t="shared" si="2"/>
        <v>-70</v>
      </c>
      <c r="F5" s="23">
        <v>1</v>
      </c>
      <c r="G5" s="23"/>
      <c r="H5" s="23">
        <v>69</v>
      </c>
      <c r="I5" s="37">
        <v>1</v>
      </c>
      <c r="J5" s="38">
        <v>201</v>
      </c>
      <c r="K5" s="36">
        <v>1</v>
      </c>
    </row>
    <row r="6" spans="1:11">
      <c r="A6" s="21" t="s">
        <v>25</v>
      </c>
      <c r="B6" s="22">
        <v>8065</v>
      </c>
      <c r="C6" s="23">
        <f t="shared" si="0"/>
        <v>-330</v>
      </c>
      <c r="D6" s="24">
        <f t="shared" si="1"/>
        <v>-205</v>
      </c>
      <c r="E6" s="24">
        <f t="shared" si="2"/>
        <v>-330</v>
      </c>
      <c r="F6" s="23">
        <v>1</v>
      </c>
      <c r="G6" s="23"/>
      <c r="H6" s="23">
        <v>64</v>
      </c>
      <c r="I6" s="37">
        <v>1</v>
      </c>
      <c r="J6" s="38">
        <v>0</v>
      </c>
      <c r="K6" s="36">
        <v>0</v>
      </c>
    </row>
    <row r="7" spans="1:11">
      <c r="A7" s="21" t="s">
        <v>26</v>
      </c>
      <c r="B7" s="22">
        <v>8340</v>
      </c>
      <c r="C7" s="23">
        <f t="shared" si="0"/>
        <v>275</v>
      </c>
      <c r="D7" s="24">
        <f t="shared" si="1"/>
        <v>275</v>
      </c>
      <c r="E7" s="24">
        <f t="shared" si="2"/>
        <v>275</v>
      </c>
      <c r="F7" s="23"/>
      <c r="G7" s="23"/>
      <c r="H7" s="23">
        <v>0</v>
      </c>
      <c r="I7" s="37">
        <v>0</v>
      </c>
      <c r="J7" s="38">
        <v>0</v>
      </c>
      <c r="K7" s="36">
        <v>0</v>
      </c>
    </row>
    <row r="8" spans="1:11">
      <c r="A8" s="21" t="s">
        <v>27</v>
      </c>
      <c r="B8" s="22">
        <v>8625</v>
      </c>
      <c r="C8" s="23">
        <f t="shared" si="0"/>
        <v>285</v>
      </c>
      <c r="D8" s="24">
        <f t="shared" si="1"/>
        <v>410</v>
      </c>
      <c r="E8" s="24">
        <f t="shared" si="2"/>
        <v>285</v>
      </c>
      <c r="F8" s="23">
        <v>1</v>
      </c>
      <c r="G8" s="23"/>
      <c r="H8" s="23">
        <v>61</v>
      </c>
      <c r="I8" s="37">
        <v>1</v>
      </c>
      <c r="J8" s="38">
        <v>0</v>
      </c>
      <c r="K8" s="36">
        <v>0</v>
      </c>
    </row>
    <row r="9" spans="1:11">
      <c r="A9" s="21" t="s">
        <v>28</v>
      </c>
      <c r="B9" s="22">
        <v>7575</v>
      </c>
      <c r="C9" s="23">
        <f t="shared" si="0"/>
        <v>-1050</v>
      </c>
      <c r="D9" s="24">
        <f t="shared" si="1"/>
        <v>-425</v>
      </c>
      <c r="E9" s="24">
        <f t="shared" si="2"/>
        <v>-425</v>
      </c>
      <c r="F9" s="23"/>
      <c r="G9" s="23">
        <v>5</v>
      </c>
      <c r="H9" s="23">
        <v>69</v>
      </c>
      <c r="I9" s="37">
        <v>1</v>
      </c>
      <c r="J9" s="38">
        <v>173</v>
      </c>
      <c r="K9" s="36">
        <v>1</v>
      </c>
    </row>
    <row r="10" spans="1:11">
      <c r="A10" s="21" t="s">
        <v>29</v>
      </c>
      <c r="B10" s="22">
        <v>7150</v>
      </c>
      <c r="C10" s="23">
        <f t="shared" si="0"/>
        <v>-425</v>
      </c>
      <c r="D10" s="24">
        <f t="shared" si="1"/>
        <v>-300</v>
      </c>
      <c r="E10" s="24">
        <f t="shared" si="2"/>
        <v>-425</v>
      </c>
      <c r="F10" s="23">
        <v>1</v>
      </c>
      <c r="G10" s="23"/>
      <c r="H10" s="23">
        <v>60</v>
      </c>
      <c r="I10" s="37">
        <v>1</v>
      </c>
      <c r="J10" s="38">
        <v>135</v>
      </c>
      <c r="K10" s="36">
        <v>1</v>
      </c>
    </row>
    <row r="11" ht="14.25" spans="1:11">
      <c r="A11" s="25" t="s">
        <v>30</v>
      </c>
      <c r="B11" s="26">
        <v>7265</v>
      </c>
      <c r="C11" s="27">
        <f t="shared" si="0"/>
        <v>115</v>
      </c>
      <c r="D11" s="28">
        <f t="shared" si="1"/>
        <v>240</v>
      </c>
      <c r="E11" s="28">
        <f t="shared" si="2"/>
        <v>115</v>
      </c>
      <c r="F11" s="27">
        <v>1</v>
      </c>
      <c r="G11" s="27"/>
      <c r="H11" s="27">
        <v>66</v>
      </c>
      <c r="I11" s="39">
        <v>1</v>
      </c>
      <c r="J11" s="40">
        <v>168</v>
      </c>
      <c r="K11" s="36">
        <v>1</v>
      </c>
    </row>
    <row r="12" spans="1:11">
      <c r="A12" s="17" t="s">
        <v>22</v>
      </c>
      <c r="B12" s="18">
        <v>7180</v>
      </c>
      <c r="C12" s="19">
        <f t="shared" si="0"/>
        <v>-85</v>
      </c>
      <c r="D12" s="20">
        <f t="shared" si="1"/>
        <v>40</v>
      </c>
      <c r="E12" s="20">
        <f t="shared" si="2"/>
        <v>40</v>
      </c>
      <c r="F12" s="19"/>
      <c r="G12" s="19">
        <v>1</v>
      </c>
      <c r="H12" s="19">
        <v>64</v>
      </c>
      <c r="I12" s="34">
        <v>1</v>
      </c>
      <c r="J12" s="35">
        <v>0</v>
      </c>
      <c r="K12" s="36">
        <v>0</v>
      </c>
    </row>
    <row r="13" spans="1:11">
      <c r="A13" s="21" t="s">
        <v>23</v>
      </c>
      <c r="B13" s="22">
        <v>7855</v>
      </c>
      <c r="C13" s="23">
        <f t="shared" si="0"/>
        <v>675</v>
      </c>
      <c r="D13" s="24">
        <f t="shared" si="1"/>
        <v>675</v>
      </c>
      <c r="E13" s="24">
        <f t="shared" si="2"/>
        <v>675</v>
      </c>
      <c r="F13" s="23"/>
      <c r="G13" s="23"/>
      <c r="H13" s="23">
        <v>0</v>
      </c>
      <c r="I13" s="37">
        <v>0</v>
      </c>
      <c r="J13" s="38">
        <v>0</v>
      </c>
      <c r="K13" s="36">
        <v>0</v>
      </c>
    </row>
    <row r="14" spans="1:11">
      <c r="A14" s="21" t="s">
        <v>24</v>
      </c>
      <c r="B14" s="22">
        <v>8420</v>
      </c>
      <c r="C14" s="23">
        <f t="shared" si="0"/>
        <v>565</v>
      </c>
      <c r="D14" s="24">
        <f t="shared" si="1"/>
        <v>565</v>
      </c>
      <c r="E14" s="24">
        <f t="shared" si="2"/>
        <v>565</v>
      </c>
      <c r="F14" s="23"/>
      <c r="G14" s="23"/>
      <c r="H14" s="23">
        <v>0</v>
      </c>
      <c r="I14" s="37">
        <v>0</v>
      </c>
      <c r="J14" s="38">
        <v>0</v>
      </c>
      <c r="K14" s="36">
        <v>0</v>
      </c>
    </row>
    <row r="15" spans="1:11">
      <c r="A15" s="21" t="s">
        <v>25</v>
      </c>
      <c r="B15" s="22">
        <v>8415</v>
      </c>
      <c r="C15" s="23">
        <f t="shared" si="0"/>
        <v>-5</v>
      </c>
      <c r="D15" s="24">
        <f t="shared" si="1"/>
        <v>120</v>
      </c>
      <c r="E15" s="24">
        <f t="shared" si="2"/>
        <v>-5</v>
      </c>
      <c r="F15" s="23">
        <v>1</v>
      </c>
      <c r="G15" s="23"/>
      <c r="H15" s="23">
        <v>0</v>
      </c>
      <c r="I15" s="37">
        <v>0</v>
      </c>
      <c r="J15" s="38">
        <v>0</v>
      </c>
      <c r="K15" s="36">
        <v>0</v>
      </c>
    </row>
    <row r="16" spans="1:11">
      <c r="A16" s="21" t="s">
        <v>26</v>
      </c>
      <c r="B16" s="22">
        <v>9005</v>
      </c>
      <c r="C16" s="23">
        <f t="shared" si="0"/>
        <v>590</v>
      </c>
      <c r="D16" s="24">
        <f t="shared" si="1"/>
        <v>715</v>
      </c>
      <c r="E16" s="24">
        <f t="shared" si="2"/>
        <v>590</v>
      </c>
      <c r="F16" s="23">
        <v>1</v>
      </c>
      <c r="G16" s="23"/>
      <c r="H16" s="23">
        <v>0</v>
      </c>
      <c r="I16" s="37">
        <v>0</v>
      </c>
      <c r="J16" s="38">
        <v>151</v>
      </c>
      <c r="K16" s="36">
        <v>1</v>
      </c>
    </row>
    <row r="17" ht="14.25" spans="1:11">
      <c r="A17" s="25" t="s">
        <v>27</v>
      </c>
      <c r="B17" s="26">
        <v>9750</v>
      </c>
      <c r="C17" s="27">
        <f t="shared" si="0"/>
        <v>745</v>
      </c>
      <c r="D17" s="28">
        <f t="shared" si="1"/>
        <v>745</v>
      </c>
      <c r="E17" s="28">
        <f t="shared" si="2"/>
        <v>745</v>
      </c>
      <c r="F17" s="27"/>
      <c r="G17" s="27"/>
      <c r="H17" s="27">
        <v>59</v>
      </c>
      <c r="I17" s="39">
        <v>1</v>
      </c>
      <c r="J17" s="40">
        <v>0</v>
      </c>
      <c r="K17" s="36">
        <v>0</v>
      </c>
    </row>
    <row r="18" spans="1:11">
      <c r="A18" s="17" t="s">
        <v>22</v>
      </c>
      <c r="B18" s="18">
        <v>5515</v>
      </c>
      <c r="C18" s="19">
        <f>B18-B17+4000</f>
        <v>-235</v>
      </c>
      <c r="D18" s="20">
        <f t="shared" si="1"/>
        <v>-235</v>
      </c>
      <c r="E18" s="20">
        <f t="shared" si="2"/>
        <v>-235</v>
      </c>
      <c r="F18" s="19"/>
      <c r="G18" s="19"/>
      <c r="H18" s="19">
        <v>85</v>
      </c>
      <c r="I18" s="34">
        <v>1</v>
      </c>
      <c r="J18" s="35">
        <v>0</v>
      </c>
      <c r="K18" s="36">
        <v>0</v>
      </c>
    </row>
    <row r="19" spans="1:11">
      <c r="A19" s="21" t="s">
        <v>23</v>
      </c>
      <c r="B19" s="22">
        <v>5555</v>
      </c>
      <c r="C19" s="23">
        <f t="shared" si="0"/>
        <v>40</v>
      </c>
      <c r="D19" s="24">
        <f t="shared" si="1"/>
        <v>165</v>
      </c>
      <c r="E19" s="24">
        <f t="shared" si="2"/>
        <v>40</v>
      </c>
      <c r="F19" s="23">
        <v>1</v>
      </c>
      <c r="G19" s="23"/>
      <c r="H19" s="23">
        <v>0</v>
      </c>
      <c r="I19" s="37">
        <v>0</v>
      </c>
      <c r="J19" s="38">
        <v>126</v>
      </c>
      <c r="K19" s="36">
        <v>1</v>
      </c>
    </row>
    <row r="20" spans="1:11">
      <c r="A20" s="21" t="s">
        <v>24</v>
      </c>
      <c r="B20" s="22">
        <v>5620</v>
      </c>
      <c r="C20" s="23">
        <f t="shared" si="0"/>
        <v>65</v>
      </c>
      <c r="D20" s="24">
        <f t="shared" si="1"/>
        <v>65</v>
      </c>
      <c r="E20" s="24">
        <f t="shared" si="2"/>
        <v>65</v>
      </c>
      <c r="F20" s="23"/>
      <c r="G20" s="23"/>
      <c r="H20" s="23">
        <v>0</v>
      </c>
      <c r="I20" s="37">
        <v>0</v>
      </c>
      <c r="J20" s="38">
        <v>126</v>
      </c>
      <c r="K20" s="36">
        <v>1</v>
      </c>
    </row>
    <row r="21" spans="1:11">
      <c r="A21" s="21" t="s">
        <v>25</v>
      </c>
      <c r="B21" s="22">
        <v>4995</v>
      </c>
      <c r="C21" s="23">
        <f t="shared" si="0"/>
        <v>-625</v>
      </c>
      <c r="D21" s="24">
        <f t="shared" si="1"/>
        <v>-500</v>
      </c>
      <c r="E21" s="24">
        <f t="shared" si="2"/>
        <v>-625</v>
      </c>
      <c r="F21" s="23">
        <v>1</v>
      </c>
      <c r="G21" s="23"/>
      <c r="H21" s="23">
        <v>75</v>
      </c>
      <c r="I21" s="37">
        <v>1</v>
      </c>
      <c r="J21" s="38">
        <v>236</v>
      </c>
      <c r="K21" s="36">
        <v>1</v>
      </c>
    </row>
    <row r="22" ht="14.25" spans="1:11">
      <c r="A22" s="25" t="s">
        <v>26</v>
      </c>
      <c r="B22" s="26">
        <v>5505</v>
      </c>
      <c r="C22" s="27">
        <f t="shared" si="0"/>
        <v>510</v>
      </c>
      <c r="D22" s="28">
        <f t="shared" si="1"/>
        <v>510</v>
      </c>
      <c r="E22" s="28">
        <f t="shared" si="2"/>
        <v>510</v>
      </c>
      <c r="F22" s="27"/>
      <c r="G22" s="27"/>
      <c r="H22" s="27">
        <v>89</v>
      </c>
      <c r="I22" s="39">
        <v>1</v>
      </c>
      <c r="J22" s="40">
        <v>0</v>
      </c>
      <c r="K22" s="36">
        <v>0</v>
      </c>
    </row>
    <row r="23" spans="1:11">
      <c r="A23" s="17" t="s">
        <v>22</v>
      </c>
      <c r="B23" s="18">
        <v>4915</v>
      </c>
      <c r="C23" s="19">
        <f t="shared" si="0"/>
        <v>-590</v>
      </c>
      <c r="D23" s="20">
        <f t="shared" si="1"/>
        <v>-465</v>
      </c>
      <c r="E23" s="20">
        <f t="shared" si="2"/>
        <v>-590</v>
      </c>
      <c r="F23" s="19">
        <v>1</v>
      </c>
      <c r="G23" s="19"/>
      <c r="H23" s="19">
        <v>83</v>
      </c>
      <c r="I23" s="34">
        <v>1</v>
      </c>
      <c r="J23" s="35">
        <v>0</v>
      </c>
      <c r="K23" s="36">
        <v>0</v>
      </c>
    </row>
    <row r="24" spans="1:11">
      <c r="A24" s="21" t="s">
        <v>23</v>
      </c>
      <c r="B24" s="22">
        <v>4540</v>
      </c>
      <c r="C24" s="23">
        <f t="shared" si="0"/>
        <v>-375</v>
      </c>
      <c r="D24" s="24">
        <f t="shared" si="1"/>
        <v>125</v>
      </c>
      <c r="E24" s="24">
        <f t="shared" si="2"/>
        <v>125</v>
      </c>
      <c r="F24" s="23"/>
      <c r="G24" s="23">
        <v>4</v>
      </c>
      <c r="H24" s="23">
        <v>0</v>
      </c>
      <c r="I24" s="37">
        <v>0</v>
      </c>
      <c r="J24" s="38">
        <v>0</v>
      </c>
      <c r="K24" s="36">
        <v>0</v>
      </c>
    </row>
    <row r="25" ht="14.25" spans="1:11">
      <c r="A25" s="25" t="s">
        <v>24</v>
      </c>
      <c r="B25" s="26">
        <v>4390</v>
      </c>
      <c r="C25" s="27">
        <f t="shared" si="0"/>
        <v>-150</v>
      </c>
      <c r="D25" s="28">
        <f t="shared" si="1"/>
        <v>-150</v>
      </c>
      <c r="E25" s="28">
        <f t="shared" si="2"/>
        <v>-150</v>
      </c>
      <c r="F25" s="27"/>
      <c r="G25" s="27"/>
      <c r="H25" s="27">
        <v>0</v>
      </c>
      <c r="I25" s="39">
        <v>0</v>
      </c>
      <c r="J25" s="40">
        <v>182</v>
      </c>
      <c r="K25" s="36">
        <v>1</v>
      </c>
    </row>
    <row r="26" spans="1:11">
      <c r="A26" s="17" t="s">
        <v>22</v>
      </c>
      <c r="B26" s="18">
        <v>4985</v>
      </c>
      <c r="C26" s="19">
        <f t="shared" si="0"/>
        <v>595</v>
      </c>
      <c r="D26" s="20">
        <f t="shared" si="1"/>
        <v>720</v>
      </c>
      <c r="E26" s="20">
        <f t="shared" si="2"/>
        <v>595</v>
      </c>
      <c r="F26" s="19">
        <v>1</v>
      </c>
      <c r="G26" s="19"/>
      <c r="H26" s="19">
        <v>0</v>
      </c>
      <c r="I26" s="34">
        <v>0</v>
      </c>
      <c r="J26" s="35">
        <v>0</v>
      </c>
      <c r="K26" s="36">
        <v>0</v>
      </c>
    </row>
    <row r="27" ht="14.25" spans="1:11">
      <c r="A27" s="25" t="s">
        <v>23</v>
      </c>
      <c r="B27" s="26">
        <v>5210</v>
      </c>
      <c r="C27" s="27">
        <f t="shared" si="0"/>
        <v>225</v>
      </c>
      <c r="D27" s="28">
        <f t="shared" si="1"/>
        <v>600</v>
      </c>
      <c r="E27" s="28">
        <f t="shared" si="2"/>
        <v>475</v>
      </c>
      <c r="F27" s="27">
        <v>1</v>
      </c>
      <c r="G27" s="27">
        <v>2</v>
      </c>
      <c r="H27" s="27">
        <v>0</v>
      </c>
      <c r="I27" s="39">
        <v>0</v>
      </c>
      <c r="J27" s="40">
        <v>215</v>
      </c>
      <c r="K27" s="36">
        <v>1</v>
      </c>
    </row>
    <row r="28" spans="1:11">
      <c r="A28" s="17" t="s">
        <v>22</v>
      </c>
      <c r="B28" s="18">
        <v>4285</v>
      </c>
      <c r="C28" s="19">
        <f t="shared" si="0"/>
        <v>-925</v>
      </c>
      <c r="D28" s="20">
        <f t="shared" si="1"/>
        <v>-425</v>
      </c>
      <c r="E28" s="20">
        <f t="shared" si="2"/>
        <v>-925</v>
      </c>
      <c r="F28" s="19">
        <v>4</v>
      </c>
      <c r="G28" s="19"/>
      <c r="H28" s="19">
        <v>81</v>
      </c>
      <c r="I28" s="34">
        <v>1</v>
      </c>
      <c r="J28" s="35">
        <v>209</v>
      </c>
      <c r="K28" s="36">
        <v>1</v>
      </c>
    </row>
    <row r="29" spans="1:11">
      <c r="A29" s="21" t="s">
        <v>23</v>
      </c>
      <c r="B29" s="22">
        <v>4855</v>
      </c>
      <c r="C29" s="23">
        <f t="shared" si="0"/>
        <v>570</v>
      </c>
      <c r="D29" s="24">
        <f t="shared" si="1"/>
        <v>570</v>
      </c>
      <c r="E29" s="24">
        <f t="shared" si="2"/>
        <v>570</v>
      </c>
      <c r="F29" s="23"/>
      <c r="G29" s="23"/>
      <c r="H29" s="23">
        <v>0</v>
      </c>
      <c r="I29" s="37">
        <v>0</v>
      </c>
      <c r="J29" s="38">
        <v>136</v>
      </c>
      <c r="K29" s="36">
        <v>1</v>
      </c>
    </row>
    <row r="30" ht="14.25" spans="1:11">
      <c r="A30" s="25" t="s">
        <v>24</v>
      </c>
      <c r="B30" s="26">
        <v>4950</v>
      </c>
      <c r="C30" s="27">
        <f t="shared" si="0"/>
        <v>95</v>
      </c>
      <c r="D30" s="28">
        <f t="shared" si="1"/>
        <v>95</v>
      </c>
      <c r="E30" s="28">
        <f t="shared" si="2"/>
        <v>95</v>
      </c>
      <c r="F30" s="27"/>
      <c r="G30" s="27"/>
      <c r="H30" s="27">
        <v>0</v>
      </c>
      <c r="I30" s="39">
        <v>0</v>
      </c>
      <c r="J30" s="40">
        <v>0</v>
      </c>
      <c r="K30" s="36">
        <v>0</v>
      </c>
    </row>
    <row r="31" spans="1:11">
      <c r="A31" s="17" t="s">
        <v>22</v>
      </c>
      <c r="B31" s="18">
        <v>4880</v>
      </c>
      <c r="C31" s="19">
        <f t="shared" si="0"/>
        <v>-70</v>
      </c>
      <c r="D31" s="20">
        <f t="shared" si="1"/>
        <v>180</v>
      </c>
      <c r="E31" s="20">
        <f t="shared" si="2"/>
        <v>-70</v>
      </c>
      <c r="F31" s="19">
        <v>2</v>
      </c>
      <c r="G31" s="19"/>
      <c r="H31" s="19">
        <v>0</v>
      </c>
      <c r="I31" s="34">
        <v>0</v>
      </c>
      <c r="J31" s="35">
        <v>177</v>
      </c>
      <c r="K31" s="36">
        <v>1</v>
      </c>
    </row>
    <row r="32" spans="1:11">
      <c r="A32" s="21" t="s">
        <v>23</v>
      </c>
      <c r="B32" s="22">
        <v>4945</v>
      </c>
      <c r="C32" s="23">
        <f t="shared" si="0"/>
        <v>65</v>
      </c>
      <c r="D32" s="24">
        <f t="shared" si="1"/>
        <v>190</v>
      </c>
      <c r="E32" s="24">
        <f t="shared" si="2"/>
        <v>65</v>
      </c>
      <c r="F32" s="23">
        <v>1</v>
      </c>
      <c r="G32" s="23"/>
      <c r="H32" s="23">
        <v>0</v>
      </c>
      <c r="I32" s="37">
        <v>0</v>
      </c>
      <c r="J32" s="38">
        <v>200</v>
      </c>
      <c r="K32" s="36">
        <v>1</v>
      </c>
    </row>
    <row r="33" ht="14.25" spans="1:11">
      <c r="A33" s="25" t="s">
        <v>24</v>
      </c>
      <c r="B33" s="26">
        <v>5105</v>
      </c>
      <c r="C33" s="27">
        <f t="shared" si="0"/>
        <v>160</v>
      </c>
      <c r="D33" s="28">
        <f t="shared" si="1"/>
        <v>535</v>
      </c>
      <c r="E33" s="28">
        <f t="shared" si="2"/>
        <v>535</v>
      </c>
      <c r="F33" s="27"/>
      <c r="G33" s="27">
        <v>3</v>
      </c>
      <c r="H33" s="27">
        <v>0</v>
      </c>
      <c r="I33" s="39">
        <v>0</v>
      </c>
      <c r="J33" s="40">
        <v>0</v>
      </c>
      <c r="K33" s="36">
        <v>0</v>
      </c>
    </row>
    <row r="34" ht="14.25" spans="1:11">
      <c r="A34" s="29" t="s">
        <v>22</v>
      </c>
      <c r="B34" s="30">
        <v>4450</v>
      </c>
      <c r="C34" s="31">
        <f t="shared" si="0"/>
        <v>-655</v>
      </c>
      <c r="D34" s="31">
        <f t="shared" si="1"/>
        <v>-280</v>
      </c>
      <c r="E34" s="31">
        <f t="shared" si="2"/>
        <v>-655</v>
      </c>
      <c r="F34" s="31">
        <v>3</v>
      </c>
      <c r="G34" s="31"/>
      <c r="H34" s="31">
        <v>76</v>
      </c>
      <c r="I34" s="41">
        <v>1</v>
      </c>
      <c r="J34" s="42">
        <v>174</v>
      </c>
      <c r="K34" s="43">
        <v>1</v>
      </c>
    </row>
    <row r="35" spans="6:7">
      <c r="F35" s="13">
        <f>SUM(F2:F34)</f>
        <v>22</v>
      </c>
      <c r="G35" s="13">
        <f>SUM(G2:G34)</f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L22"/>
  <sheetViews>
    <sheetView zoomScale="190" zoomScaleNormal="190" workbookViewId="0">
      <selection activeCell="C15" sqref="C15"/>
    </sheetView>
  </sheetViews>
  <sheetFormatPr defaultColWidth="9" defaultRowHeight="13.5"/>
  <cols>
    <col min="1" max="1" width="9" style="9"/>
    <col min="2" max="2" width="13.6333333333333" style="9" customWidth="1"/>
    <col min="3" max="4" width="12.625" style="9"/>
    <col min="5" max="5" width="9.375" style="9"/>
    <col min="6" max="12" width="12.625" style="9"/>
    <col min="13" max="16384" width="9" style="9"/>
  </cols>
  <sheetData>
    <row r="2" spans="3:4">
      <c r="C2" s="9" t="s">
        <v>41</v>
      </c>
      <c r="D2" s="9" t="s">
        <v>42</v>
      </c>
    </row>
    <row r="3" ht="14.25" spans="6:8">
      <c r="F3" s="9">
        <v>276</v>
      </c>
      <c r="G3" s="9">
        <v>292</v>
      </c>
      <c r="H3" s="9">
        <v>288</v>
      </c>
    </row>
    <row r="4" ht="14.25" spans="2:8">
      <c r="B4" s="9" t="s">
        <v>43</v>
      </c>
      <c r="C4" s="9">
        <f>SUM(F4:H4)</f>
        <v>0.146666666666667</v>
      </c>
      <c r="D4" s="10">
        <f>(11*50+150+75)*C4</f>
        <v>113.666666666667</v>
      </c>
      <c r="F4" s="9">
        <f>1-F3/300</f>
        <v>0.08</v>
      </c>
      <c r="G4" s="9">
        <f>1-G3/300</f>
        <v>0.0266666666666666</v>
      </c>
      <c r="H4" s="9">
        <f>1-H3/300</f>
        <v>0.04</v>
      </c>
    </row>
    <row r="5" spans="2:4">
      <c r="B5" s="9" t="s">
        <v>44</v>
      </c>
      <c r="C5" s="9">
        <v>15</v>
      </c>
      <c r="D5" s="9">
        <f>125*(C5)</f>
        <v>1875</v>
      </c>
    </row>
    <row r="6" spans="6:10">
      <c r="F6" s="9">
        <v>3716</v>
      </c>
      <c r="G6" s="9">
        <v>664</v>
      </c>
      <c r="H6" s="9">
        <v>552</v>
      </c>
      <c r="I6" s="9">
        <v>3876</v>
      </c>
      <c r="J6" s="9">
        <v>1616</v>
      </c>
    </row>
    <row r="7" ht="14.25" spans="2:10">
      <c r="B7" s="9" t="s">
        <v>45</v>
      </c>
      <c r="C7" s="9">
        <f>SUM(F7:J7)</f>
        <v>2.394</v>
      </c>
      <c r="D7" s="9">
        <f>125*(C7)</f>
        <v>299.25</v>
      </c>
      <c r="F7" s="9">
        <f t="shared" ref="F7:K7" si="0">1-F6/4000</f>
        <v>0.071</v>
      </c>
      <c r="G7" s="9">
        <f t="shared" si="0"/>
        <v>0.834</v>
      </c>
      <c r="H7" s="9">
        <f t="shared" si="0"/>
        <v>0.862</v>
      </c>
      <c r="I7" s="9">
        <f t="shared" si="0"/>
        <v>0.031</v>
      </c>
      <c r="J7" s="9">
        <f t="shared" si="0"/>
        <v>0.596</v>
      </c>
    </row>
    <row r="8" ht="14.25" spans="2:4">
      <c r="B8" s="9" t="s">
        <v>46</v>
      </c>
      <c r="D8" s="10">
        <f>D7+D5</f>
        <v>2174.25</v>
      </c>
    </row>
    <row r="9" spans="2:4">
      <c r="B9" s="9" t="s">
        <v>47</v>
      </c>
      <c r="C9" s="9">
        <v>22</v>
      </c>
      <c r="D9" s="9">
        <f>125*(C9)</f>
        <v>2750</v>
      </c>
    </row>
    <row r="10" spans="6:12">
      <c r="F10" s="9">
        <v>2504</v>
      </c>
      <c r="G10" s="9">
        <v>2612</v>
      </c>
      <c r="H10" s="9">
        <v>2620</v>
      </c>
      <c r="I10" s="9">
        <v>3072</v>
      </c>
      <c r="J10" s="9">
        <v>3176</v>
      </c>
      <c r="K10" s="9">
        <v>2832</v>
      </c>
      <c r="L10" s="9">
        <v>3352</v>
      </c>
    </row>
    <row r="11" ht="14.25" spans="2:12">
      <c r="B11" s="9" t="s">
        <v>48</v>
      </c>
      <c r="C11" s="9">
        <f>SUM(F11:L11)</f>
        <v>1.958</v>
      </c>
      <c r="D11" s="9">
        <f>125*(C11)</f>
        <v>244.75</v>
      </c>
      <c r="F11" s="9">
        <f>1-F10/4000</f>
        <v>0.374</v>
      </c>
      <c r="G11" s="9">
        <f t="shared" ref="G11:L11" si="1">1-G10/4000</f>
        <v>0.347</v>
      </c>
      <c r="H11" s="9">
        <f t="shared" si="1"/>
        <v>0.345</v>
      </c>
      <c r="I11" s="9">
        <f t="shared" si="1"/>
        <v>0.232</v>
      </c>
      <c r="J11" s="9">
        <f t="shared" si="1"/>
        <v>0.206</v>
      </c>
      <c r="K11" s="9">
        <f t="shared" si="1"/>
        <v>0.292</v>
      </c>
      <c r="L11" s="9">
        <f t="shared" si="1"/>
        <v>0.162</v>
      </c>
    </row>
    <row r="12" ht="14.25" spans="2:4">
      <c r="B12" s="9" t="s">
        <v>49</v>
      </c>
      <c r="D12" s="10">
        <f>D11+D9</f>
        <v>2994.75</v>
      </c>
    </row>
    <row r="14" spans="2:3">
      <c r="B14" s="9" t="s">
        <v>50</v>
      </c>
      <c r="C14" s="9">
        <f>12/32</f>
        <v>0.375</v>
      </c>
    </row>
    <row r="15" spans="2:3">
      <c r="B15" s="9" t="s">
        <v>51</v>
      </c>
      <c r="C15" s="9">
        <v>0.5294</v>
      </c>
    </row>
    <row r="16" spans="2:4">
      <c r="B16" s="9" t="s">
        <v>52</v>
      </c>
      <c r="C16" s="9">
        <f>D8/C14*C15</f>
        <v>3069.4612</v>
      </c>
      <c r="D16" s="9">
        <f>C16-D8</f>
        <v>895.2112</v>
      </c>
    </row>
    <row r="18" spans="2:3">
      <c r="B18" s="9" t="s">
        <v>53</v>
      </c>
      <c r="C18" s="9">
        <f>C16+D12+D4</f>
        <v>6177.87786666667</v>
      </c>
    </row>
    <row r="19" spans="2:3">
      <c r="B19" s="9" t="s">
        <v>54</v>
      </c>
      <c r="C19" s="11">
        <f>C18/32</f>
        <v>193.058683333333</v>
      </c>
    </row>
    <row r="21" spans="2:3">
      <c r="B21" s="9" t="s">
        <v>55</v>
      </c>
      <c r="C21" s="9">
        <f>D4+D7+D11</f>
        <v>657.666666666667</v>
      </c>
    </row>
    <row r="22" spans="4:4">
      <c r="D22" s="1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2"/>
  <sheetViews>
    <sheetView zoomScale="220" zoomScaleNormal="220" topLeftCell="A6" workbookViewId="0">
      <selection activeCell="C21" sqref="C21"/>
    </sheetView>
  </sheetViews>
  <sheetFormatPr defaultColWidth="9" defaultRowHeight="13.5" outlineLevelCol="4"/>
  <cols>
    <col min="1" max="1" width="11.5" style="6"/>
    <col min="2" max="2" width="11.2416666666667" style="6" customWidth="1"/>
    <col min="3" max="3" width="12.5583333333333" style="6" customWidth="1"/>
    <col min="4" max="4" width="9" style="6"/>
    <col min="5" max="5" width="13.75" style="6"/>
    <col min="6" max="16384" width="9" style="6"/>
  </cols>
  <sheetData>
    <row r="2" spans="1:5">
      <c r="A2" s="7"/>
      <c r="B2" s="7">
        <v>0</v>
      </c>
      <c r="E2" s="6" t="s">
        <v>56</v>
      </c>
    </row>
    <row r="3" spans="1:5">
      <c r="A3" s="8" t="s">
        <v>57</v>
      </c>
      <c r="B3" s="6">
        <f>C3+D3</f>
        <v>-34.46625</v>
      </c>
      <c r="C3" s="8">
        <v>158.59375</v>
      </c>
      <c r="D3" s="6">
        <v>-193.06</v>
      </c>
      <c r="E3" s="6">
        <f>B3</f>
        <v>-34.46625</v>
      </c>
    </row>
    <row r="4" spans="1:5">
      <c r="A4" s="8" t="s">
        <v>20</v>
      </c>
      <c r="B4" s="8">
        <v>-181.71875</v>
      </c>
      <c r="E4" s="6">
        <f>B4*(2*B16-1)</f>
        <v>-10.689336525</v>
      </c>
    </row>
    <row r="5" spans="1:5">
      <c r="A5" s="8" t="s">
        <v>13</v>
      </c>
      <c r="B5" s="8">
        <v>-252.03125</v>
      </c>
      <c r="E5" s="6">
        <f>B5*(2*B16-1)</f>
        <v>-14.825365275</v>
      </c>
    </row>
    <row r="6" spans="1:5">
      <c r="A6" s="8" t="s">
        <v>7</v>
      </c>
      <c r="B6" s="8">
        <v>-102.65625</v>
      </c>
      <c r="E6" s="6">
        <f>B6*(2*B16-1)</f>
        <v>-6.038601975</v>
      </c>
    </row>
    <row r="7" spans="1:5">
      <c r="A7" s="8" t="s">
        <v>8</v>
      </c>
      <c r="B7" s="8">
        <v>-71.71875</v>
      </c>
      <c r="E7" s="6">
        <f>B7*(2*B16-1)</f>
        <v>-4.218749325</v>
      </c>
    </row>
    <row r="8" spans="1:5">
      <c r="A8" s="8" t="s">
        <v>19</v>
      </c>
      <c r="B8" s="8">
        <v>54.53125</v>
      </c>
      <c r="E8" s="6">
        <f>B8*(2*B16-1)</f>
        <v>3.207720075</v>
      </c>
    </row>
    <row r="9" spans="1:5">
      <c r="A9" s="8" t="s">
        <v>18</v>
      </c>
      <c r="B9" s="8">
        <v>-46.09375</v>
      </c>
      <c r="E9" s="6">
        <f>B9*(2*B16-1)</f>
        <v>-2.711396625</v>
      </c>
    </row>
    <row r="10" spans="1:5">
      <c r="A10" s="8" t="s">
        <v>3</v>
      </c>
      <c r="B10" s="8">
        <v>-33.28125</v>
      </c>
      <c r="E10" s="6">
        <f>B10*(2*B16-1)</f>
        <v>-1.957720275</v>
      </c>
    </row>
    <row r="11" spans="1:5">
      <c r="A11" s="8" t="s">
        <v>58</v>
      </c>
      <c r="B11" s="8">
        <v>-54.21875</v>
      </c>
      <c r="E11" s="6">
        <f>B11*(2*B18-1)</f>
        <v>3.18933772500001</v>
      </c>
    </row>
    <row r="12" spans="1:5">
      <c r="A12" s="8" t="s">
        <v>59</v>
      </c>
      <c r="B12" s="8">
        <v>40.46875</v>
      </c>
      <c r="E12" s="6">
        <f>B12*(2*B18-1)</f>
        <v>-2.38051432500001</v>
      </c>
    </row>
    <row r="13" spans="1:5">
      <c r="A13" s="8" t="s">
        <v>60</v>
      </c>
      <c r="B13" s="8">
        <v>-28.59375</v>
      </c>
      <c r="E13" s="6">
        <f>B13*(2*B22-1)</f>
        <v>1.681985025</v>
      </c>
    </row>
    <row r="14" spans="5:5">
      <c r="E14" s="6">
        <f>SUM(E3:E13)</f>
        <v>-69.2088915</v>
      </c>
    </row>
    <row r="15" spans="1:2">
      <c r="A15" s="6" t="s">
        <v>61</v>
      </c>
      <c r="B15" s="6">
        <v>0.26470588</v>
      </c>
    </row>
    <row r="16" spans="1:2">
      <c r="A16" s="6" t="s">
        <v>62</v>
      </c>
      <c r="B16" s="6">
        <v>0.52941176</v>
      </c>
    </row>
    <row r="17" spans="1:2">
      <c r="A17" s="6" t="s">
        <v>63</v>
      </c>
      <c r="B17" s="6">
        <f>1+B15-2*B16</f>
        <v>0.20588236</v>
      </c>
    </row>
    <row r="18" spans="1:2">
      <c r="A18" s="6" t="s">
        <v>64</v>
      </c>
      <c r="B18" s="6">
        <f>B15+B17</f>
        <v>0.47058824</v>
      </c>
    </row>
    <row r="19" spans="1:2">
      <c r="A19" s="6" t="s">
        <v>65</v>
      </c>
      <c r="B19" s="6">
        <f>1-B18</f>
        <v>0.52941176</v>
      </c>
    </row>
    <row r="21" spans="1:2">
      <c r="A21" s="6" t="s">
        <v>66</v>
      </c>
      <c r="B21" s="6">
        <v>0</v>
      </c>
    </row>
    <row r="22" spans="1:2">
      <c r="A22" s="6" t="s">
        <v>67</v>
      </c>
      <c r="B22" s="6">
        <f>B21*B16+(1-B16)*(1-B21)</f>
        <v>0.47058824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115" zoomScaleNormal="115" topLeftCell="A4" workbookViewId="0">
      <selection activeCell="R33" sqref="R33"/>
    </sheetView>
  </sheetViews>
  <sheetFormatPr defaultColWidth="9" defaultRowHeight="13.5" outlineLevelCol="4"/>
  <cols>
    <col min="1" max="3" width="9" style="5"/>
    <col min="4" max="4" width="11.7333333333333" style="5" customWidth="1"/>
    <col min="5" max="5" width="11.5" style="5"/>
    <col min="6" max="16384" width="9" style="5"/>
  </cols>
  <sheetData>
    <row r="1" spans="2:5">
      <c r="B1" s="5" t="s">
        <v>68</v>
      </c>
      <c r="C1" s="5" t="b">
        <v>1</v>
      </c>
      <c r="D1" s="5" t="s">
        <v>69</v>
      </c>
      <c r="E1" s="5" t="s">
        <v>70</v>
      </c>
    </row>
    <row r="2" spans="3:5">
      <c r="C2" s="5">
        <v>4000</v>
      </c>
      <c r="E2" s="5">
        <v>4000</v>
      </c>
    </row>
    <row r="3" spans="1:5">
      <c r="A3" s="2" t="s">
        <v>22</v>
      </c>
      <c r="B3" s="2">
        <v>270</v>
      </c>
      <c r="C3" s="5">
        <f>C2+B3-193.06</f>
        <v>4076.94</v>
      </c>
      <c r="D3" s="4">
        <v>350.78125</v>
      </c>
      <c r="E3" s="5">
        <f>D3+E2-193.06</f>
        <v>4157.72125</v>
      </c>
    </row>
    <row r="4" spans="1:5">
      <c r="A4" s="2" t="s">
        <v>23</v>
      </c>
      <c r="B4" s="2">
        <v>195</v>
      </c>
      <c r="C4" s="5">
        <f t="shared" ref="C4:C34" si="0">C3+B4-193.06</f>
        <v>4078.88</v>
      </c>
      <c r="D4" s="4">
        <v>173.593749999999</v>
      </c>
      <c r="E4" s="5">
        <f t="shared" ref="E4:E34" si="1">D4+E3-193.06</f>
        <v>4138.255</v>
      </c>
    </row>
    <row r="5" spans="1:5">
      <c r="A5" s="2" t="s">
        <v>24</v>
      </c>
      <c r="B5" s="2">
        <v>55</v>
      </c>
      <c r="C5" s="5">
        <f t="shared" si="0"/>
        <v>3940.82</v>
      </c>
      <c r="D5" s="4">
        <v>65.15625</v>
      </c>
      <c r="E5" s="5">
        <f t="shared" si="1"/>
        <v>4010.35125</v>
      </c>
    </row>
    <row r="6" spans="1:5">
      <c r="A6" s="2" t="s">
        <v>25</v>
      </c>
      <c r="B6" s="2">
        <v>-205</v>
      </c>
      <c r="C6" s="5">
        <f t="shared" si="0"/>
        <v>3542.76</v>
      </c>
      <c r="D6" s="4">
        <v>-243.59375</v>
      </c>
      <c r="E6" s="5">
        <f t="shared" si="1"/>
        <v>3573.6975</v>
      </c>
    </row>
    <row r="7" spans="1:5">
      <c r="A7" s="2" t="s">
        <v>26</v>
      </c>
      <c r="B7" s="2">
        <v>275</v>
      </c>
      <c r="C7" s="5">
        <f t="shared" si="0"/>
        <v>3624.7</v>
      </c>
      <c r="D7" s="4">
        <v>129.84375</v>
      </c>
      <c r="E7" s="5">
        <f t="shared" si="1"/>
        <v>3510.48125</v>
      </c>
    </row>
    <row r="8" spans="1:5">
      <c r="A8" s="2" t="s">
        <v>27</v>
      </c>
      <c r="B8" s="2">
        <v>410</v>
      </c>
      <c r="C8" s="5">
        <f t="shared" si="0"/>
        <v>3841.64</v>
      </c>
      <c r="D8" s="4">
        <v>358.28125</v>
      </c>
      <c r="E8" s="5">
        <f t="shared" si="1"/>
        <v>3675.7025</v>
      </c>
    </row>
    <row r="9" spans="1:5">
      <c r="A9" s="2" t="s">
        <v>28</v>
      </c>
      <c r="B9" s="2">
        <v>-425</v>
      </c>
      <c r="C9" s="5">
        <f t="shared" si="0"/>
        <v>3223.58</v>
      </c>
      <c r="D9" s="4">
        <v>-502.03125</v>
      </c>
      <c r="E9" s="5">
        <f t="shared" si="1"/>
        <v>2980.61125</v>
      </c>
    </row>
    <row r="10" spans="1:5">
      <c r="A10" s="2" t="s">
        <v>29</v>
      </c>
      <c r="B10" s="2">
        <v>-300</v>
      </c>
      <c r="C10" s="5">
        <f t="shared" si="0"/>
        <v>2730.52</v>
      </c>
      <c r="D10" s="4">
        <v>-367.34375</v>
      </c>
      <c r="E10" s="5">
        <f t="shared" si="1"/>
        <v>2420.2075</v>
      </c>
    </row>
    <row r="11" spans="1:5">
      <c r="A11" s="2" t="s">
        <v>30</v>
      </c>
      <c r="B11" s="2">
        <v>240</v>
      </c>
      <c r="C11" s="5">
        <f t="shared" si="0"/>
        <v>2777.46</v>
      </c>
      <c r="D11" s="4">
        <v>90.1562499999999</v>
      </c>
      <c r="E11" s="5">
        <f t="shared" si="1"/>
        <v>2317.30375</v>
      </c>
    </row>
    <row r="12" spans="1:5">
      <c r="A12" s="2" t="s">
        <v>22</v>
      </c>
      <c r="B12" s="2">
        <v>40</v>
      </c>
      <c r="C12" s="5">
        <f t="shared" si="0"/>
        <v>2624.4</v>
      </c>
      <c r="D12" s="4">
        <v>75.46875</v>
      </c>
      <c r="E12" s="5">
        <f t="shared" si="1"/>
        <v>2199.7125</v>
      </c>
    </row>
    <row r="13" spans="1:5">
      <c r="A13" s="2" t="s">
        <v>23</v>
      </c>
      <c r="B13" s="2">
        <v>675</v>
      </c>
      <c r="C13" s="5">
        <f t="shared" si="0"/>
        <v>3106.34</v>
      </c>
      <c r="D13" s="4">
        <v>766.09375</v>
      </c>
      <c r="E13" s="5">
        <f t="shared" si="1"/>
        <v>2772.74625</v>
      </c>
    </row>
    <row r="14" spans="1:5">
      <c r="A14" s="2" t="s">
        <v>24</v>
      </c>
      <c r="B14" s="2">
        <v>565</v>
      </c>
      <c r="C14" s="5">
        <f t="shared" si="0"/>
        <v>3478.28</v>
      </c>
      <c r="D14" s="4">
        <v>447.03125</v>
      </c>
      <c r="E14" s="5">
        <f t="shared" si="1"/>
        <v>3026.7175</v>
      </c>
    </row>
    <row r="15" spans="1:5">
      <c r="A15" s="2" t="s">
        <v>25</v>
      </c>
      <c r="B15" s="2">
        <v>120</v>
      </c>
      <c r="C15" s="5">
        <f t="shared" si="0"/>
        <v>3405.22</v>
      </c>
      <c r="D15" s="4">
        <v>97.65625</v>
      </c>
      <c r="E15" s="5">
        <f t="shared" si="1"/>
        <v>2931.31375</v>
      </c>
    </row>
    <row r="16" spans="1:5">
      <c r="A16" s="2" t="s">
        <v>26</v>
      </c>
      <c r="B16" s="2">
        <v>715</v>
      </c>
      <c r="C16" s="5">
        <f t="shared" si="0"/>
        <v>3927.16</v>
      </c>
      <c r="D16" s="4">
        <v>588.28125</v>
      </c>
      <c r="E16" s="5">
        <f t="shared" si="1"/>
        <v>3326.535</v>
      </c>
    </row>
    <row r="17" spans="1:5">
      <c r="A17" s="2" t="s">
        <v>27</v>
      </c>
      <c r="B17" s="2">
        <v>745</v>
      </c>
      <c r="C17" s="5">
        <f t="shared" si="0"/>
        <v>4479.1</v>
      </c>
      <c r="D17" s="4">
        <v>459.21875</v>
      </c>
      <c r="E17" s="5">
        <f t="shared" si="1"/>
        <v>3592.69375</v>
      </c>
    </row>
    <row r="18" spans="1:5">
      <c r="A18" s="2" t="s">
        <v>22</v>
      </c>
      <c r="B18" s="2">
        <v>-235</v>
      </c>
      <c r="C18" s="5">
        <f t="shared" si="0"/>
        <v>4051.04</v>
      </c>
      <c r="D18" s="4">
        <v>-217.343749999999</v>
      </c>
      <c r="E18" s="5">
        <f t="shared" si="1"/>
        <v>3182.29</v>
      </c>
    </row>
    <row r="19" spans="1:5">
      <c r="A19" s="2" t="s">
        <v>23</v>
      </c>
      <c r="B19" s="2">
        <v>165</v>
      </c>
      <c r="C19" s="5">
        <f t="shared" si="0"/>
        <v>4022.98</v>
      </c>
      <c r="D19" s="4">
        <v>47.3437499999999</v>
      </c>
      <c r="E19" s="5">
        <f t="shared" si="1"/>
        <v>3036.57375</v>
      </c>
    </row>
    <row r="20" spans="1:5">
      <c r="A20" s="2" t="s">
        <v>24</v>
      </c>
      <c r="B20" s="2">
        <v>65</v>
      </c>
      <c r="C20" s="5">
        <f t="shared" si="0"/>
        <v>3894.92</v>
      </c>
      <c r="D20" s="4">
        <v>-10.46875</v>
      </c>
      <c r="E20" s="5">
        <f t="shared" si="1"/>
        <v>2833.045</v>
      </c>
    </row>
    <row r="21" spans="1:5">
      <c r="A21" s="2" t="s">
        <v>25</v>
      </c>
      <c r="B21" s="2">
        <v>-500</v>
      </c>
      <c r="C21" s="5">
        <f t="shared" si="0"/>
        <v>3201.86</v>
      </c>
      <c r="D21" s="4">
        <v>-323.593749999999</v>
      </c>
      <c r="E21" s="5">
        <f t="shared" si="1"/>
        <v>2316.39125</v>
      </c>
    </row>
    <row r="22" spans="1:5">
      <c r="A22" s="2" t="s">
        <v>26</v>
      </c>
      <c r="B22" s="2">
        <v>510</v>
      </c>
      <c r="C22" s="5">
        <f t="shared" si="0"/>
        <v>3518.8</v>
      </c>
      <c r="D22" s="4">
        <v>536.71875</v>
      </c>
      <c r="E22" s="5">
        <f t="shared" si="1"/>
        <v>2660.05</v>
      </c>
    </row>
    <row r="23" spans="1:5">
      <c r="A23" s="2" t="s">
        <v>22</v>
      </c>
      <c r="B23" s="2">
        <v>-465</v>
      </c>
      <c r="C23" s="5">
        <f t="shared" si="0"/>
        <v>2860.74</v>
      </c>
      <c r="D23" s="4">
        <v>-249.531249999999</v>
      </c>
      <c r="E23" s="5">
        <f t="shared" si="1"/>
        <v>2217.45875</v>
      </c>
    </row>
    <row r="24" spans="1:5">
      <c r="A24" s="2" t="s">
        <v>23</v>
      </c>
      <c r="B24" s="2">
        <v>125</v>
      </c>
      <c r="C24" s="5">
        <f t="shared" si="0"/>
        <v>2792.68</v>
      </c>
      <c r="D24" s="4">
        <v>129.218749999999</v>
      </c>
      <c r="E24" s="5">
        <f t="shared" si="1"/>
        <v>2153.6175</v>
      </c>
    </row>
    <row r="25" spans="1:5">
      <c r="A25" s="2" t="s">
        <v>24</v>
      </c>
      <c r="B25" s="2">
        <v>-150</v>
      </c>
      <c r="C25" s="5">
        <f t="shared" si="0"/>
        <v>2449.62</v>
      </c>
      <c r="D25" s="4">
        <v>-30.1562500000001</v>
      </c>
      <c r="E25" s="5">
        <f t="shared" si="1"/>
        <v>1930.40125</v>
      </c>
    </row>
    <row r="26" spans="1:5">
      <c r="A26" s="2" t="s">
        <v>22</v>
      </c>
      <c r="B26" s="2">
        <v>720</v>
      </c>
      <c r="C26" s="5">
        <f t="shared" si="0"/>
        <v>2976.56</v>
      </c>
      <c r="D26" s="4">
        <v>848.90625</v>
      </c>
      <c r="E26" s="5">
        <f t="shared" si="1"/>
        <v>2586.2475</v>
      </c>
    </row>
    <row r="27" spans="1:5">
      <c r="A27" s="2" t="s">
        <v>23</v>
      </c>
      <c r="B27" s="2">
        <v>600</v>
      </c>
      <c r="C27" s="5">
        <f t="shared" si="0"/>
        <v>3383.5</v>
      </c>
      <c r="D27" s="4">
        <v>562.03125</v>
      </c>
      <c r="E27" s="5">
        <f t="shared" si="1"/>
        <v>2955.21875</v>
      </c>
    </row>
    <row r="28" spans="1:5">
      <c r="A28" s="2" t="s">
        <v>22</v>
      </c>
      <c r="B28" s="2">
        <v>-425</v>
      </c>
      <c r="C28" s="5">
        <f t="shared" si="0"/>
        <v>2765.44</v>
      </c>
      <c r="D28" s="4">
        <v>-202.65625</v>
      </c>
      <c r="E28" s="5">
        <f t="shared" si="1"/>
        <v>2559.5025</v>
      </c>
    </row>
    <row r="29" spans="1:5">
      <c r="A29" s="2" t="s">
        <v>23</v>
      </c>
      <c r="B29" s="2">
        <v>570</v>
      </c>
      <c r="C29" s="5">
        <f t="shared" si="0"/>
        <v>3142.38</v>
      </c>
      <c r="D29" s="4">
        <v>427.96875</v>
      </c>
      <c r="E29" s="5">
        <f t="shared" si="1"/>
        <v>2794.41125</v>
      </c>
    </row>
    <row r="30" spans="1:5">
      <c r="A30" s="2" t="s">
        <v>24</v>
      </c>
      <c r="B30" s="2">
        <v>95</v>
      </c>
      <c r="C30" s="5">
        <f t="shared" si="0"/>
        <v>3044.32</v>
      </c>
      <c r="D30" s="4">
        <v>28.2812499999997</v>
      </c>
      <c r="E30" s="5">
        <f t="shared" si="1"/>
        <v>2629.6325</v>
      </c>
    </row>
    <row r="31" spans="1:5">
      <c r="A31" s="2" t="s">
        <v>22</v>
      </c>
      <c r="B31" s="2">
        <v>180</v>
      </c>
      <c r="C31" s="5">
        <f t="shared" si="0"/>
        <v>3031.26</v>
      </c>
      <c r="D31" s="4">
        <v>314.531249999999</v>
      </c>
      <c r="E31" s="5">
        <f t="shared" si="1"/>
        <v>2751.10375</v>
      </c>
    </row>
    <row r="32" spans="1:5">
      <c r="A32" s="2" t="s">
        <v>23</v>
      </c>
      <c r="B32" s="2">
        <v>190</v>
      </c>
      <c r="C32" s="5">
        <f t="shared" si="0"/>
        <v>3028.2</v>
      </c>
      <c r="D32" s="4">
        <v>435.468749999999</v>
      </c>
      <c r="E32" s="5">
        <f t="shared" si="1"/>
        <v>2993.5125</v>
      </c>
    </row>
    <row r="33" spans="1:5">
      <c r="A33" s="2" t="s">
        <v>24</v>
      </c>
      <c r="B33" s="2">
        <v>535</v>
      </c>
      <c r="C33" s="5">
        <f t="shared" si="0"/>
        <v>3370.14</v>
      </c>
      <c r="D33" s="4">
        <v>662.96875</v>
      </c>
      <c r="E33" s="5">
        <f t="shared" si="1"/>
        <v>3463.42125</v>
      </c>
    </row>
    <row r="34" spans="1:5">
      <c r="A34" s="2" t="s">
        <v>22</v>
      </c>
      <c r="B34" s="2">
        <v>-280</v>
      </c>
      <c r="C34" s="5">
        <f t="shared" si="0"/>
        <v>2897.08</v>
      </c>
      <c r="D34" s="4">
        <v>-373.28125</v>
      </c>
      <c r="E34" s="5">
        <f t="shared" si="1"/>
        <v>2897.08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zoomScale="160" zoomScaleNormal="160" workbookViewId="0">
      <selection activeCell="G39" sqref="G39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71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2025-06-21T03:27:55Z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