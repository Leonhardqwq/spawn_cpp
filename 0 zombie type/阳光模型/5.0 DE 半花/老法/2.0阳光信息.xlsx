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40" windowHeight="14505" activeTab="3"/>
  </bookViews>
  <sheets>
    <sheet name="汇总" sheetId="4" r:id="rId1"/>
    <sheet name="额外阳光消耗" sheetId="6" r:id="rId2"/>
    <sheet name="模型参数" sheetId="5" r:id="rId3"/>
    <sheet name="折线对比1" sheetId="7" r:id="rId4"/>
    <sheet name="破阵率" sheetId="8" r:id="rId5"/>
    <sheet name="截图" sheetId="10" r:id="rId6"/>
  </sheets>
  <calcPr calcId="144525"/>
</workbook>
</file>

<file path=xl/sharedStrings.xml><?xml version="1.0" encoding="utf-8"?>
<sst xmlns="http://schemas.openxmlformats.org/spreadsheetml/2006/main" count="81" uniqueCount="49">
  <si>
    <t>Y</t>
  </si>
  <si>
    <t>红</t>
  </si>
  <si>
    <t>车</t>
  </si>
  <si>
    <t>橄</t>
  </si>
  <si>
    <t>气</t>
  </si>
  <si>
    <t>舞</t>
  </si>
  <si>
    <t>杆</t>
  </si>
  <si>
    <t>白</t>
  </si>
  <si>
    <t>权重和</t>
  </si>
  <si>
    <t>2002f</t>
  </si>
  <si>
    <t>2004f</t>
  </si>
  <si>
    <t>2006f</t>
  </si>
  <si>
    <t>2008f</t>
  </si>
  <si>
    <t>2010f</t>
  </si>
  <si>
    <t>2012f</t>
  </si>
  <si>
    <t>2014f</t>
  </si>
  <si>
    <t>2016f</t>
  </si>
  <si>
    <t>2018f</t>
  </si>
  <si>
    <t>2020f</t>
  </si>
  <si>
    <t>2022f</t>
  </si>
  <si>
    <t>2024f</t>
  </si>
  <si>
    <t>2026f</t>
  </si>
  <si>
    <t>2028f</t>
  </si>
  <si>
    <t>2030f</t>
  </si>
  <si>
    <t>2032f</t>
  </si>
  <si>
    <t>2034f</t>
  </si>
  <si>
    <t>2036f</t>
  </si>
  <si>
    <t>2038f</t>
  </si>
  <si>
    <t>2040f</t>
  </si>
  <si>
    <t>2042f</t>
  </si>
  <si>
    <t>2044f</t>
  </si>
  <si>
    <t>2046f</t>
  </si>
  <si>
    <t>2048f</t>
  </si>
  <si>
    <t>2050f</t>
  </si>
  <si>
    <t>个数</t>
  </si>
  <si>
    <t>均摊阳光</t>
  </si>
  <si>
    <t>曾损</t>
  </si>
  <si>
    <t>南瓜</t>
  </si>
  <si>
    <t>总共</t>
  </si>
  <si>
    <t>矿工南瓜</t>
  </si>
  <si>
    <t>最后</t>
  </si>
  <si>
    <t>中途</t>
  </si>
  <si>
    <t>总计</t>
  </si>
  <si>
    <t>dlt</t>
  </si>
  <si>
    <t>pred</t>
  </si>
  <si>
    <t>百f 5%</t>
  </si>
  <si>
    <t>千f 5%</t>
  </si>
  <si>
    <t>万f 5%</t>
  </si>
  <si>
    <t>砍花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</si>
</sst>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Fill="1" applyBorder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"TRUE"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折线对比1!$C$2:$C$27</c:f>
              <c:numCache>
                <c:formatCode>General</c:formatCode>
                <c:ptCount val="26"/>
                <c:pt idx="0">
                  <c:v>8000</c:v>
                </c:pt>
                <c:pt idx="1">
                  <c:v>8142.87</c:v>
                </c:pt>
                <c:pt idx="2">
                  <c:v>7785.74</c:v>
                </c:pt>
                <c:pt idx="3">
                  <c:v>6778.61</c:v>
                </c:pt>
                <c:pt idx="4">
                  <c:v>5996.48</c:v>
                </c:pt>
                <c:pt idx="5">
                  <c:v>5939.35</c:v>
                </c:pt>
                <c:pt idx="6">
                  <c:v>5432.22</c:v>
                </c:pt>
                <c:pt idx="7">
                  <c:v>5975.09</c:v>
                </c:pt>
                <c:pt idx="8">
                  <c:v>4042.96</c:v>
                </c:pt>
                <c:pt idx="9">
                  <c:v>4135.83</c:v>
                </c:pt>
                <c:pt idx="10">
                  <c:v>4203.7</c:v>
                </c:pt>
                <c:pt idx="11">
                  <c:v>4171.57</c:v>
                </c:pt>
                <c:pt idx="12">
                  <c:v>4439.44</c:v>
                </c:pt>
                <c:pt idx="13">
                  <c:v>5407.31</c:v>
                </c:pt>
                <c:pt idx="14">
                  <c:v>5550.18</c:v>
                </c:pt>
                <c:pt idx="15">
                  <c:v>6468.05</c:v>
                </c:pt>
                <c:pt idx="16">
                  <c:v>5960.92</c:v>
                </c:pt>
                <c:pt idx="17">
                  <c:v>4453.79</c:v>
                </c:pt>
                <c:pt idx="18">
                  <c:v>3346.66</c:v>
                </c:pt>
                <c:pt idx="19">
                  <c:v>1714.53</c:v>
                </c:pt>
                <c:pt idx="20">
                  <c:v>2182.4</c:v>
                </c:pt>
                <c:pt idx="21">
                  <c:v>2100.27</c:v>
                </c:pt>
                <c:pt idx="22">
                  <c:v>1093.14</c:v>
                </c:pt>
                <c:pt idx="23">
                  <c:v>1161.01</c:v>
                </c:pt>
                <c:pt idx="24">
                  <c:v>328.879999999997</c:v>
                </c:pt>
                <c:pt idx="25">
                  <c:v>-28.2500000000025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"pred"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折线对比1!$D$2:$D$27</c:f>
              <c:numCache>
                <c:formatCode>General</c:formatCode>
                <c:ptCount val="26"/>
                <c:pt idx="0">
                  <c:v>8000</c:v>
                </c:pt>
                <c:pt idx="1">
                  <c:v>7904</c:v>
                </c:pt>
                <c:pt idx="2">
                  <c:v>7619</c:v>
                </c:pt>
                <c:pt idx="3">
                  <c:v>6843</c:v>
                </c:pt>
                <c:pt idx="4">
                  <c:v>6295</c:v>
                </c:pt>
                <c:pt idx="5">
                  <c:v>5880</c:v>
                </c:pt>
                <c:pt idx="6">
                  <c:v>5567</c:v>
                </c:pt>
                <c:pt idx="7">
                  <c:v>5855</c:v>
                </c:pt>
                <c:pt idx="8">
                  <c:v>4188</c:v>
                </c:pt>
                <c:pt idx="9">
                  <c:v>4596</c:v>
                </c:pt>
                <c:pt idx="10">
                  <c:v>4393</c:v>
                </c:pt>
                <c:pt idx="11">
                  <c:v>4463</c:v>
                </c:pt>
                <c:pt idx="12">
                  <c:v>4344</c:v>
                </c:pt>
                <c:pt idx="13">
                  <c:v>4956</c:v>
                </c:pt>
                <c:pt idx="14">
                  <c:v>4924</c:v>
                </c:pt>
                <c:pt idx="15">
                  <c:v>5174</c:v>
                </c:pt>
                <c:pt idx="16">
                  <c:v>4348</c:v>
                </c:pt>
                <c:pt idx="17">
                  <c:v>3095</c:v>
                </c:pt>
                <c:pt idx="18">
                  <c:v>1969</c:v>
                </c:pt>
                <c:pt idx="19">
                  <c:v>155</c:v>
                </c:pt>
                <c:pt idx="20">
                  <c:v>882</c:v>
                </c:pt>
                <c:pt idx="21">
                  <c:v>915</c:v>
                </c:pt>
                <c:pt idx="22">
                  <c:v>-337</c:v>
                </c:pt>
                <c:pt idx="23">
                  <c:v>15</c:v>
                </c:pt>
                <c:pt idx="24">
                  <c:v>-290</c:v>
                </c:pt>
                <c:pt idx="25">
                  <c:v>-52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8757453"/>
        <c:axId val="495685896"/>
      </c:lineChart>
      <c:catAx>
        <c:axId val="8787574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685896"/>
        <c:crosses val="autoZero"/>
        <c:auto val="1"/>
        <c:lblAlgn val="ctr"/>
        <c:lblOffset val="100"/>
        <c:noMultiLvlLbl val="0"/>
      </c:catAx>
      <c:valAx>
        <c:axId val="495685896"/>
        <c:scaling>
          <c:orientation val="minMax"/>
          <c:max val="8500"/>
          <c:min val="-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7574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652780</xdr:colOff>
      <xdr:row>5</xdr:row>
      <xdr:rowOff>133350</xdr:rowOff>
    </xdr:from>
    <xdr:to>
      <xdr:col>13</xdr:col>
      <xdr:colOff>228600</xdr:colOff>
      <xdr:row>24</xdr:row>
      <xdr:rowOff>68580</xdr:rowOff>
    </xdr:to>
    <xdr:graphicFrame>
      <xdr:nvGraphicFramePr>
        <xdr:cNvPr id="4" name="图表 3"/>
        <xdr:cNvGraphicFramePr/>
      </xdr:nvGraphicFramePr>
      <xdr:xfrm>
        <a:off x="3604260" y="990600"/>
        <a:ext cx="5748020" cy="3192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zoomScale="115" zoomScaleNormal="115" topLeftCell="B1" workbookViewId="0">
      <selection activeCell="B1" sqref="B1:J1"/>
    </sheetView>
  </sheetViews>
  <sheetFormatPr defaultColWidth="9" defaultRowHeight="13.5"/>
  <cols>
    <col min="1" max="1" width="9" style="10"/>
    <col min="2" max="2" width="13.75" style="10"/>
    <col min="3" max="3" width="9" style="10" customWidth="1"/>
    <col min="4" max="16384" width="9" style="10"/>
  </cols>
  <sheetData>
    <row r="1" spans="1:12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L1" s="10">
        <v>8000</v>
      </c>
    </row>
    <row r="2" spans="1:12">
      <c r="A2" s="3" t="s">
        <v>9</v>
      </c>
      <c r="B2" s="3">
        <f>L2-L1</f>
        <v>175</v>
      </c>
      <c r="C2" s="11">
        <v>1</v>
      </c>
      <c r="D2" s="11">
        <v>1</v>
      </c>
      <c r="E2" s="11">
        <v>0</v>
      </c>
      <c r="F2" s="11">
        <v>1</v>
      </c>
      <c r="G2" s="11">
        <v>0</v>
      </c>
      <c r="H2" s="11">
        <v>0</v>
      </c>
      <c r="I2" s="11">
        <v>1</v>
      </c>
      <c r="J2" s="11">
        <v>14401</v>
      </c>
      <c r="K2" s="12"/>
      <c r="L2" s="10">
        <v>8175</v>
      </c>
    </row>
    <row r="3" spans="1:12">
      <c r="A3" s="3" t="s">
        <v>10</v>
      </c>
      <c r="B3" s="3">
        <f t="shared" ref="B3:B26" si="0">L3-L2</f>
        <v>-325</v>
      </c>
      <c r="C3" s="11">
        <v>1</v>
      </c>
      <c r="D3" s="11">
        <v>0</v>
      </c>
      <c r="E3" s="11">
        <v>1</v>
      </c>
      <c r="F3" s="11">
        <v>0</v>
      </c>
      <c r="G3" s="11">
        <v>1</v>
      </c>
      <c r="H3" s="11">
        <v>1</v>
      </c>
      <c r="I3" s="11">
        <v>0</v>
      </c>
      <c r="J3" s="11">
        <v>13401</v>
      </c>
      <c r="K3" s="12"/>
      <c r="L3" s="10">
        <v>7850</v>
      </c>
    </row>
    <row r="4" spans="1:12">
      <c r="A4" s="3" t="s">
        <v>11</v>
      </c>
      <c r="B4" s="3">
        <f t="shared" si="0"/>
        <v>-975</v>
      </c>
      <c r="C4" s="11">
        <v>1</v>
      </c>
      <c r="D4" s="11">
        <v>1</v>
      </c>
      <c r="E4" s="11">
        <v>1</v>
      </c>
      <c r="F4" s="11">
        <v>1</v>
      </c>
      <c r="G4" s="11">
        <v>0</v>
      </c>
      <c r="H4" s="11">
        <v>0</v>
      </c>
      <c r="I4" s="11">
        <v>1</v>
      </c>
      <c r="J4" s="11">
        <v>14901</v>
      </c>
      <c r="K4" s="12"/>
      <c r="L4" s="10">
        <v>6875</v>
      </c>
    </row>
    <row r="5" spans="1:12">
      <c r="A5" s="3" t="s">
        <v>12</v>
      </c>
      <c r="B5" s="3">
        <f t="shared" si="0"/>
        <v>-750</v>
      </c>
      <c r="C5" s="11">
        <v>1</v>
      </c>
      <c r="D5" s="11">
        <v>1</v>
      </c>
      <c r="E5" s="11">
        <v>0</v>
      </c>
      <c r="F5" s="11">
        <v>1</v>
      </c>
      <c r="G5" s="11">
        <v>0</v>
      </c>
      <c r="H5" s="11">
        <v>1</v>
      </c>
      <c r="I5" s="11">
        <v>0</v>
      </c>
      <c r="J5" s="11">
        <v>12901</v>
      </c>
      <c r="K5" s="12"/>
      <c r="L5" s="10">
        <v>6125</v>
      </c>
    </row>
    <row r="6" spans="1:12">
      <c r="A6" s="3" t="s">
        <v>13</v>
      </c>
      <c r="B6" s="3">
        <f t="shared" si="0"/>
        <v>-25</v>
      </c>
      <c r="C6" s="11">
        <v>1</v>
      </c>
      <c r="D6" s="11">
        <v>0</v>
      </c>
      <c r="E6" s="11">
        <v>0</v>
      </c>
      <c r="F6" s="11">
        <v>1</v>
      </c>
      <c r="G6" s="11">
        <v>1</v>
      </c>
      <c r="H6" s="11">
        <v>1</v>
      </c>
      <c r="I6" s="11">
        <v>1</v>
      </c>
      <c r="J6" s="11">
        <v>13901</v>
      </c>
      <c r="K6" s="12"/>
      <c r="L6" s="10">
        <v>6100</v>
      </c>
    </row>
    <row r="7" spans="1:12">
      <c r="A7" s="3" t="s">
        <v>14</v>
      </c>
      <c r="B7" s="3">
        <f t="shared" si="0"/>
        <v>-475</v>
      </c>
      <c r="C7" s="11">
        <v>1</v>
      </c>
      <c r="D7" s="11">
        <v>0</v>
      </c>
      <c r="E7" s="11">
        <v>0</v>
      </c>
      <c r="F7" s="11">
        <v>1</v>
      </c>
      <c r="G7" s="11">
        <v>1</v>
      </c>
      <c r="H7" s="11">
        <v>1</v>
      </c>
      <c r="I7" s="11">
        <v>0</v>
      </c>
      <c r="J7" s="11">
        <v>14901</v>
      </c>
      <c r="K7" s="12"/>
      <c r="L7" s="10">
        <v>5625</v>
      </c>
    </row>
    <row r="8" spans="1:12">
      <c r="A8" s="3" t="s">
        <v>15</v>
      </c>
      <c r="B8" s="3">
        <f t="shared" si="0"/>
        <v>575</v>
      </c>
      <c r="C8" s="11">
        <v>1</v>
      </c>
      <c r="D8" s="11">
        <v>1</v>
      </c>
      <c r="E8" s="11">
        <v>1</v>
      </c>
      <c r="F8" s="11">
        <v>0</v>
      </c>
      <c r="G8" s="11">
        <v>0</v>
      </c>
      <c r="H8" s="11">
        <v>0</v>
      </c>
      <c r="I8" s="11">
        <v>0</v>
      </c>
      <c r="J8" s="11">
        <v>16401</v>
      </c>
      <c r="K8" s="12"/>
      <c r="L8" s="10">
        <v>6200</v>
      </c>
    </row>
    <row r="9" spans="1:12">
      <c r="A9" s="3" t="s">
        <v>16</v>
      </c>
      <c r="B9" s="3">
        <f t="shared" si="0"/>
        <v>-1900</v>
      </c>
      <c r="C9" s="11">
        <v>1</v>
      </c>
      <c r="D9" s="11">
        <v>1</v>
      </c>
      <c r="E9" s="11">
        <v>1</v>
      </c>
      <c r="F9" s="11">
        <v>1</v>
      </c>
      <c r="G9" s="11">
        <v>1</v>
      </c>
      <c r="H9" s="11">
        <v>0</v>
      </c>
      <c r="I9" s="11">
        <v>0</v>
      </c>
      <c r="J9" s="11">
        <v>11901</v>
      </c>
      <c r="K9" s="12"/>
      <c r="L9" s="10">
        <v>4300</v>
      </c>
    </row>
    <row r="10" spans="1:12">
      <c r="A10" s="3" t="s">
        <v>17</v>
      </c>
      <c r="B10" s="3">
        <f t="shared" si="0"/>
        <v>125</v>
      </c>
      <c r="C10" s="11">
        <v>1</v>
      </c>
      <c r="D10" s="11">
        <v>1</v>
      </c>
      <c r="E10" s="11">
        <v>0</v>
      </c>
      <c r="F10" s="11">
        <v>0</v>
      </c>
      <c r="G10" s="11">
        <v>0</v>
      </c>
      <c r="H10" s="11">
        <v>0</v>
      </c>
      <c r="I10" s="11">
        <v>1</v>
      </c>
      <c r="J10" s="11">
        <v>10401</v>
      </c>
      <c r="K10" s="12"/>
      <c r="L10" s="10">
        <v>4425</v>
      </c>
    </row>
    <row r="11" spans="1:12">
      <c r="A11" s="3" t="s">
        <v>18</v>
      </c>
      <c r="B11" s="3">
        <f t="shared" si="0"/>
        <v>100</v>
      </c>
      <c r="C11" s="11">
        <v>1</v>
      </c>
      <c r="D11" s="11">
        <v>0</v>
      </c>
      <c r="E11" s="11">
        <v>1</v>
      </c>
      <c r="F11" s="11">
        <v>1</v>
      </c>
      <c r="G11" s="11">
        <v>0</v>
      </c>
      <c r="H11" s="11">
        <v>1</v>
      </c>
      <c r="I11" s="11">
        <v>1</v>
      </c>
      <c r="J11" s="11">
        <v>17401</v>
      </c>
      <c r="K11" s="12"/>
      <c r="L11" s="10">
        <v>4525</v>
      </c>
    </row>
    <row r="12" spans="1:12">
      <c r="A12" s="3" t="s">
        <v>19</v>
      </c>
      <c r="B12" s="3">
        <f t="shared" si="0"/>
        <v>0</v>
      </c>
      <c r="C12" s="11">
        <v>1</v>
      </c>
      <c r="D12" s="11">
        <v>0</v>
      </c>
      <c r="E12" s="11">
        <v>0</v>
      </c>
      <c r="F12" s="11">
        <v>1</v>
      </c>
      <c r="G12" s="11">
        <v>0</v>
      </c>
      <c r="H12" s="11">
        <v>1</v>
      </c>
      <c r="I12" s="11">
        <v>1</v>
      </c>
      <c r="J12" s="11">
        <v>12901</v>
      </c>
      <c r="K12" s="12"/>
      <c r="L12" s="10">
        <v>4525</v>
      </c>
    </row>
    <row r="13" spans="1:12">
      <c r="A13" s="3" t="s">
        <v>20</v>
      </c>
      <c r="B13" s="3">
        <f t="shared" si="0"/>
        <v>300</v>
      </c>
      <c r="C13" s="11">
        <v>1</v>
      </c>
      <c r="D13" s="11">
        <v>1</v>
      </c>
      <c r="E13" s="11">
        <v>1</v>
      </c>
      <c r="F13" s="11">
        <v>0</v>
      </c>
      <c r="G13" s="11">
        <v>0</v>
      </c>
      <c r="H13" s="11">
        <v>0</v>
      </c>
      <c r="I13" s="11">
        <v>1</v>
      </c>
      <c r="J13" s="11">
        <v>12401</v>
      </c>
      <c r="K13" s="12"/>
      <c r="L13" s="10">
        <v>4825</v>
      </c>
    </row>
    <row r="14" spans="1:12">
      <c r="A14" s="3" t="s">
        <v>21</v>
      </c>
      <c r="B14" s="3">
        <f t="shared" si="0"/>
        <v>1000</v>
      </c>
      <c r="C14" s="11">
        <v>1</v>
      </c>
      <c r="D14" s="11">
        <v>1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12401</v>
      </c>
      <c r="K14" s="12"/>
      <c r="L14" s="10">
        <v>5825</v>
      </c>
    </row>
    <row r="15" spans="1:12">
      <c r="A15" s="3" t="s">
        <v>22</v>
      </c>
      <c r="B15" s="3">
        <f t="shared" si="0"/>
        <v>175</v>
      </c>
      <c r="C15" s="11">
        <v>1</v>
      </c>
      <c r="D15" s="11">
        <v>0</v>
      </c>
      <c r="E15" s="11">
        <v>0</v>
      </c>
      <c r="F15" s="11">
        <v>1</v>
      </c>
      <c r="G15" s="11">
        <v>0</v>
      </c>
      <c r="H15" s="11">
        <v>1</v>
      </c>
      <c r="I15" s="11">
        <v>0</v>
      </c>
      <c r="J15" s="11">
        <v>11901</v>
      </c>
      <c r="K15" s="12"/>
      <c r="L15" s="10">
        <v>6000</v>
      </c>
    </row>
    <row r="16" spans="1:12">
      <c r="A16" s="3" t="s">
        <v>23</v>
      </c>
      <c r="B16" s="3">
        <f t="shared" si="0"/>
        <v>950</v>
      </c>
      <c r="C16" s="11">
        <v>1</v>
      </c>
      <c r="D16" s="11">
        <v>0</v>
      </c>
      <c r="E16" s="11">
        <v>1</v>
      </c>
      <c r="F16" s="11">
        <v>0</v>
      </c>
      <c r="G16" s="11">
        <v>0</v>
      </c>
      <c r="H16" s="11">
        <v>1</v>
      </c>
      <c r="I16" s="11">
        <v>0</v>
      </c>
      <c r="J16" s="11">
        <v>12901</v>
      </c>
      <c r="K16" s="12"/>
      <c r="L16" s="10">
        <v>6950</v>
      </c>
    </row>
    <row r="17" spans="1:12">
      <c r="A17" s="3" t="s">
        <v>24</v>
      </c>
      <c r="B17" s="3">
        <f t="shared" si="0"/>
        <v>-475</v>
      </c>
      <c r="C17" s="11">
        <v>1</v>
      </c>
      <c r="D17" s="11">
        <v>1</v>
      </c>
      <c r="E17" s="11">
        <v>1</v>
      </c>
      <c r="F17" s="11">
        <v>1</v>
      </c>
      <c r="G17" s="11">
        <v>0</v>
      </c>
      <c r="H17" s="11">
        <v>0</v>
      </c>
      <c r="I17" s="11">
        <v>1</v>
      </c>
      <c r="J17" s="11">
        <v>14401</v>
      </c>
      <c r="K17" s="12"/>
      <c r="L17" s="10">
        <v>6475</v>
      </c>
    </row>
    <row r="18" spans="1:12">
      <c r="A18" s="3" t="s">
        <v>25</v>
      </c>
      <c r="B18" s="3">
        <f t="shared" si="0"/>
        <v>-1475</v>
      </c>
      <c r="C18" s="11">
        <v>1</v>
      </c>
      <c r="D18" s="11">
        <v>0</v>
      </c>
      <c r="E18" s="11">
        <v>1</v>
      </c>
      <c r="F18" s="11">
        <v>1</v>
      </c>
      <c r="G18" s="11">
        <v>1</v>
      </c>
      <c r="H18" s="11">
        <v>0</v>
      </c>
      <c r="I18" s="11">
        <v>1</v>
      </c>
      <c r="J18" s="11">
        <v>9901</v>
      </c>
      <c r="K18" s="12"/>
      <c r="L18" s="10">
        <v>5000</v>
      </c>
    </row>
    <row r="19" spans="1:12">
      <c r="A19" s="3" t="s">
        <v>26</v>
      </c>
      <c r="B19" s="3">
        <f t="shared" si="0"/>
        <v>-1075</v>
      </c>
      <c r="C19" s="11">
        <v>1</v>
      </c>
      <c r="D19" s="11">
        <v>1</v>
      </c>
      <c r="E19" s="11">
        <v>1</v>
      </c>
      <c r="F19" s="11">
        <v>1</v>
      </c>
      <c r="G19" s="11">
        <v>0</v>
      </c>
      <c r="H19" s="11">
        <v>1</v>
      </c>
      <c r="I19" s="11">
        <v>1</v>
      </c>
      <c r="J19" s="11">
        <v>14401</v>
      </c>
      <c r="K19" s="12"/>
      <c r="L19" s="10">
        <v>3925</v>
      </c>
    </row>
    <row r="20" spans="1:12">
      <c r="A20" s="3" t="s">
        <v>27</v>
      </c>
      <c r="B20" s="3">
        <f t="shared" si="0"/>
        <v>-1600</v>
      </c>
      <c r="C20" s="11">
        <v>1</v>
      </c>
      <c r="D20" s="11">
        <v>1</v>
      </c>
      <c r="E20" s="11">
        <v>1</v>
      </c>
      <c r="F20" s="11">
        <v>1</v>
      </c>
      <c r="G20" s="11">
        <v>1</v>
      </c>
      <c r="H20" s="11">
        <v>1</v>
      </c>
      <c r="I20" s="11">
        <v>0</v>
      </c>
      <c r="J20" s="11">
        <v>13401</v>
      </c>
      <c r="K20" s="12"/>
      <c r="L20" s="10">
        <v>2325</v>
      </c>
    </row>
    <row r="21" spans="1:12">
      <c r="A21" s="3" t="s">
        <v>28</v>
      </c>
      <c r="B21" s="3">
        <f t="shared" si="0"/>
        <v>500</v>
      </c>
      <c r="C21" s="11">
        <v>1</v>
      </c>
      <c r="D21" s="11">
        <v>0</v>
      </c>
      <c r="E21" s="11">
        <v>0</v>
      </c>
      <c r="F21" s="11">
        <v>0</v>
      </c>
      <c r="G21" s="11">
        <v>0</v>
      </c>
      <c r="H21" s="11">
        <v>1</v>
      </c>
      <c r="I21" s="11">
        <v>1</v>
      </c>
      <c r="J21" s="11">
        <v>10401</v>
      </c>
      <c r="K21" s="12"/>
      <c r="L21" s="10">
        <v>2825</v>
      </c>
    </row>
    <row r="22" spans="1:12">
      <c r="A22" s="3" t="s">
        <v>29</v>
      </c>
      <c r="B22" s="3">
        <f t="shared" si="0"/>
        <v>-50</v>
      </c>
      <c r="C22" s="11">
        <v>1</v>
      </c>
      <c r="D22" s="11">
        <v>1</v>
      </c>
      <c r="E22" s="11">
        <v>1</v>
      </c>
      <c r="F22" s="11">
        <v>0</v>
      </c>
      <c r="G22" s="11">
        <v>0</v>
      </c>
      <c r="H22" s="11">
        <v>0</v>
      </c>
      <c r="I22" s="11">
        <v>0</v>
      </c>
      <c r="J22" s="11">
        <v>13901</v>
      </c>
      <c r="K22" s="12"/>
      <c r="L22" s="10">
        <v>2775</v>
      </c>
    </row>
    <row r="23" spans="1:12">
      <c r="A23" s="3" t="s">
        <v>30</v>
      </c>
      <c r="B23" s="3">
        <f t="shared" si="0"/>
        <v>-975</v>
      </c>
      <c r="C23" s="11">
        <v>1</v>
      </c>
      <c r="D23" s="11">
        <v>0</v>
      </c>
      <c r="E23" s="11">
        <v>1</v>
      </c>
      <c r="F23" s="11">
        <v>1</v>
      </c>
      <c r="G23" s="11">
        <v>1</v>
      </c>
      <c r="H23" s="11">
        <v>0</v>
      </c>
      <c r="I23" s="11">
        <v>0</v>
      </c>
      <c r="J23" s="11">
        <v>9901</v>
      </c>
      <c r="K23" s="12"/>
      <c r="L23" s="10">
        <v>1800</v>
      </c>
    </row>
    <row r="24" s="10" customFormat="1" spans="1:12">
      <c r="A24" s="3" t="s">
        <v>31</v>
      </c>
      <c r="B24" s="3">
        <f t="shared" si="0"/>
        <v>100</v>
      </c>
      <c r="C24" s="11">
        <v>1</v>
      </c>
      <c r="D24" s="11">
        <v>0</v>
      </c>
      <c r="E24" s="11">
        <v>1</v>
      </c>
      <c r="F24" s="11">
        <v>0</v>
      </c>
      <c r="G24" s="11">
        <v>0</v>
      </c>
      <c r="H24" s="11">
        <v>1</v>
      </c>
      <c r="I24" s="11">
        <v>1</v>
      </c>
      <c r="J24" s="11">
        <v>13901</v>
      </c>
      <c r="K24" s="12"/>
      <c r="L24" s="10">
        <v>1900</v>
      </c>
    </row>
    <row r="25" spans="1:12">
      <c r="A25" s="3" t="s">
        <v>32</v>
      </c>
      <c r="B25" s="3">
        <f t="shared" si="0"/>
        <v>-800</v>
      </c>
      <c r="C25" s="11">
        <v>1</v>
      </c>
      <c r="D25" s="11">
        <v>0</v>
      </c>
      <c r="E25" s="11">
        <v>1</v>
      </c>
      <c r="F25" s="11">
        <v>1</v>
      </c>
      <c r="G25" s="11">
        <v>0</v>
      </c>
      <c r="H25" s="11">
        <v>1</v>
      </c>
      <c r="I25" s="11">
        <v>1</v>
      </c>
      <c r="J25" s="11">
        <v>16401</v>
      </c>
      <c r="K25" s="12"/>
      <c r="L25" s="10">
        <v>1100</v>
      </c>
    </row>
    <row r="26" spans="1:12">
      <c r="A26" s="3" t="s">
        <v>33</v>
      </c>
      <c r="B26" s="3">
        <f t="shared" si="0"/>
        <v>-325</v>
      </c>
      <c r="C26" s="11">
        <v>1</v>
      </c>
      <c r="D26" s="11">
        <v>1</v>
      </c>
      <c r="E26" s="11">
        <v>1</v>
      </c>
      <c r="F26" s="11">
        <v>0</v>
      </c>
      <c r="G26" s="11">
        <v>0</v>
      </c>
      <c r="H26" s="11">
        <v>0</v>
      </c>
      <c r="I26" s="11">
        <v>0</v>
      </c>
      <c r="J26" s="11">
        <v>15901</v>
      </c>
      <c r="K26" s="12"/>
      <c r="L26" s="10">
        <v>775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11"/>
  <sheetViews>
    <sheetView zoomScale="220" zoomScaleNormal="220" workbookViewId="0">
      <selection activeCell="D7" sqref="D7"/>
    </sheetView>
  </sheetViews>
  <sheetFormatPr defaultColWidth="9" defaultRowHeight="13.5"/>
  <cols>
    <col min="1" max="5" width="9" style="8"/>
    <col min="6" max="8" width="9.375" style="8"/>
    <col min="9" max="9" width="9" style="8"/>
    <col min="10" max="12" width="9.375" style="8"/>
    <col min="13" max="13" width="13.75" style="8"/>
    <col min="14" max="16" width="9.375" style="8"/>
    <col min="17" max="16384" width="9" style="8"/>
  </cols>
  <sheetData>
    <row r="2" spans="3:4">
      <c r="C2" s="8" t="s">
        <v>34</v>
      </c>
      <c r="D2" s="8" t="s">
        <v>35</v>
      </c>
    </row>
    <row r="3" spans="6:10">
      <c r="F3" s="8">
        <v>276</v>
      </c>
      <c r="G3" s="8">
        <v>268</v>
      </c>
      <c r="H3" s="8">
        <v>228</v>
      </c>
      <c r="I3" s="8">
        <v>248</v>
      </c>
      <c r="J3" s="8">
        <v>228</v>
      </c>
    </row>
    <row r="4" spans="2:10">
      <c r="B4" s="8" t="s">
        <v>36</v>
      </c>
      <c r="C4" s="8">
        <f>SUM(F4:J4)</f>
        <v>0.84</v>
      </c>
      <c r="D4" s="8">
        <f>(8*50+150)*C4/25</f>
        <v>18.48</v>
      </c>
      <c r="F4" s="8">
        <f>1-F3/300</f>
        <v>0.08</v>
      </c>
      <c r="G4" s="8">
        <f>1-G3/300</f>
        <v>0.106666666666667</v>
      </c>
      <c r="H4" s="8">
        <f>1-H3/300</f>
        <v>0.24</v>
      </c>
      <c r="I4" s="8">
        <f>1-I3/300</f>
        <v>0.173333333333333</v>
      </c>
      <c r="J4" s="8">
        <f>1-J3/300</f>
        <v>0.24</v>
      </c>
    </row>
    <row r="5" spans="6:16">
      <c r="F5" s="8">
        <v>1744</v>
      </c>
      <c r="G5" s="8">
        <v>3204</v>
      </c>
      <c r="H5" s="8">
        <v>2872</v>
      </c>
      <c r="I5" s="8">
        <v>544</v>
      </c>
      <c r="J5" s="8">
        <v>3412</v>
      </c>
      <c r="K5" s="8">
        <v>3032</v>
      </c>
      <c r="L5" s="8">
        <v>3728</v>
      </c>
      <c r="M5" s="8">
        <v>3812</v>
      </c>
      <c r="N5" s="8">
        <v>3400</v>
      </c>
      <c r="O5" s="8">
        <v>3572</v>
      </c>
      <c r="P5" s="8">
        <v>3760</v>
      </c>
    </row>
    <row r="6" spans="2:16">
      <c r="B6" s="8" t="s">
        <v>37</v>
      </c>
      <c r="C6" s="8">
        <f>SUM(F6:P6)</f>
        <v>2.73</v>
      </c>
      <c r="D6" s="8">
        <f>125*(C6)/25</f>
        <v>13.65</v>
      </c>
      <c r="F6" s="8">
        <f>1-F5/4000</f>
        <v>0.564</v>
      </c>
      <c r="G6" s="8">
        <f t="shared" ref="G6:P6" si="0">1-G5/4000</f>
        <v>0.199</v>
      </c>
      <c r="H6" s="8">
        <f t="shared" si="0"/>
        <v>0.282</v>
      </c>
      <c r="I6" s="8">
        <f t="shared" si="0"/>
        <v>0.864</v>
      </c>
      <c r="J6" s="8">
        <f t="shared" si="0"/>
        <v>0.147</v>
      </c>
      <c r="K6" s="8">
        <f t="shared" si="0"/>
        <v>0.242</v>
      </c>
      <c r="L6" s="8">
        <f t="shared" si="0"/>
        <v>0.0679999999999999</v>
      </c>
      <c r="M6" s="8">
        <f t="shared" si="0"/>
        <v>0.047</v>
      </c>
      <c r="N6" s="8">
        <f t="shared" si="0"/>
        <v>0.15</v>
      </c>
      <c r="O6" s="8">
        <f t="shared" si="0"/>
        <v>0.107</v>
      </c>
      <c r="P6" s="8">
        <f t="shared" si="0"/>
        <v>0.0600000000000001</v>
      </c>
    </row>
    <row r="7" spans="2:4">
      <c r="B7" s="8" t="s">
        <v>38</v>
      </c>
      <c r="D7" s="8">
        <f>SUM(D4:D6)</f>
        <v>32.13</v>
      </c>
    </row>
    <row r="8" spans="1:10">
      <c r="A8" s="9"/>
      <c r="F8" s="8">
        <v>1744</v>
      </c>
      <c r="G8" s="8">
        <v>3204</v>
      </c>
      <c r="H8" s="8">
        <v>2872</v>
      </c>
      <c r="I8" s="8">
        <v>544</v>
      </c>
      <c r="J8" s="8">
        <v>3412</v>
      </c>
    </row>
    <row r="9" spans="1:10">
      <c r="A9" s="9" t="s">
        <v>39</v>
      </c>
      <c r="B9" s="8" t="s">
        <v>40</v>
      </c>
      <c r="C9" s="8">
        <f>SUM(F9:J9)</f>
        <v>2.056</v>
      </c>
      <c r="D9" s="8">
        <f>125*(C9)/25</f>
        <v>10.28</v>
      </c>
      <c r="F9" s="8">
        <f t="shared" ref="F9:J9" si="1">1-F8/4000</f>
        <v>0.564</v>
      </c>
      <c r="G9" s="8">
        <f t="shared" si="1"/>
        <v>0.199</v>
      </c>
      <c r="H9" s="8">
        <f t="shared" si="1"/>
        <v>0.282</v>
      </c>
      <c r="I9" s="8">
        <f t="shared" si="1"/>
        <v>0.864</v>
      </c>
      <c r="J9" s="8">
        <f t="shared" si="1"/>
        <v>0.147</v>
      </c>
    </row>
    <row r="10" spans="1:4">
      <c r="A10" s="9"/>
      <c r="B10" s="8" t="s">
        <v>41</v>
      </c>
      <c r="D10" s="8">
        <f>125*(C10)/25</f>
        <v>0</v>
      </c>
    </row>
    <row r="11" spans="1:4">
      <c r="A11" s="9"/>
      <c r="B11" s="8" t="s">
        <v>42</v>
      </c>
      <c r="D11" s="8">
        <f>125*(C11)/25</f>
        <v>0</v>
      </c>
    </row>
  </sheetData>
  <mergeCells count="1">
    <mergeCell ref="A9:A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zoomScale="190" zoomScaleNormal="190" workbookViewId="0">
      <selection activeCell="A1" sqref="A1:G1"/>
    </sheetView>
  </sheetViews>
  <sheetFormatPr defaultColWidth="9" defaultRowHeight="13.5" outlineLevelRow="2" outlineLevelCol="6"/>
  <cols>
    <col min="1" max="1" width="10.375" style="4"/>
    <col min="2" max="2" width="9.375" style="4"/>
    <col min="3" max="3" width="11.9083333333333" style="4" customWidth="1"/>
    <col min="4" max="4" width="10.375" style="4"/>
    <col min="5" max="6" width="9.375" style="4"/>
    <col min="7" max="7" width="11.5" style="4"/>
    <col min="8" max="16384" width="9" style="4"/>
  </cols>
  <sheetData>
    <row r="1" spans="1:7">
      <c r="A1" s="5" t="s">
        <v>0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8</v>
      </c>
    </row>
    <row r="2" spans="1:7">
      <c r="A2" s="6">
        <v>0</v>
      </c>
      <c r="B2" s="6">
        <v>617.8601</v>
      </c>
      <c r="C2" s="6">
        <v>730.4251</v>
      </c>
      <c r="D2" s="7">
        <v>911.1419</v>
      </c>
      <c r="E2" s="7">
        <v>586.3509</v>
      </c>
      <c r="F2" s="7">
        <v>299.6206</v>
      </c>
      <c r="G2" s="7">
        <v>-1017.4024</v>
      </c>
    </row>
    <row r="3" spans="1:1">
      <c r="A3" s="4">
        <f>A2+额外阳光消耗!D7</f>
        <v>32.13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zoomScale="160" zoomScaleNormal="160" workbookViewId="0">
      <selection activeCell="E27" sqref="E27"/>
    </sheetView>
  </sheetViews>
  <sheetFormatPr defaultColWidth="9" defaultRowHeight="13.5" outlineLevelCol="3"/>
  <cols>
    <col min="1" max="3" width="9" style="2"/>
    <col min="4" max="4" width="11.7333333333333" style="2" customWidth="1"/>
    <col min="5" max="16384" width="9" style="2"/>
  </cols>
  <sheetData>
    <row r="1" spans="2:4">
      <c r="B1" s="2" t="s">
        <v>43</v>
      </c>
      <c r="C1" s="2" t="b">
        <v>1</v>
      </c>
      <c r="D1" s="2" t="s">
        <v>44</v>
      </c>
    </row>
    <row r="2" spans="3:4">
      <c r="C2" s="2">
        <v>8000</v>
      </c>
      <c r="D2" s="2">
        <v>8000</v>
      </c>
    </row>
    <row r="3" spans="1:4">
      <c r="A3" s="2" t="s">
        <v>9</v>
      </c>
      <c r="B3" s="3">
        <v>175</v>
      </c>
      <c r="C3" s="2">
        <f>C2+B3-32.13</f>
        <v>8142.87</v>
      </c>
      <c r="D3" s="2">
        <v>7904</v>
      </c>
    </row>
    <row r="4" spans="1:4">
      <c r="A4" s="2" t="s">
        <v>10</v>
      </c>
      <c r="B4" s="3">
        <v>-325</v>
      </c>
      <c r="C4" s="2">
        <f t="shared" ref="C4:C27" si="0">C3+B4-32.13</f>
        <v>7785.74</v>
      </c>
      <c r="D4" s="2">
        <v>7619</v>
      </c>
    </row>
    <row r="5" spans="1:4">
      <c r="A5" s="2" t="s">
        <v>11</v>
      </c>
      <c r="B5" s="3">
        <v>-975</v>
      </c>
      <c r="C5" s="2">
        <f t="shared" si="0"/>
        <v>6778.61</v>
      </c>
      <c r="D5" s="2">
        <v>6843</v>
      </c>
    </row>
    <row r="6" spans="1:4">
      <c r="A6" s="2" t="s">
        <v>12</v>
      </c>
      <c r="B6" s="3">
        <v>-750</v>
      </c>
      <c r="C6" s="2">
        <f t="shared" si="0"/>
        <v>5996.48</v>
      </c>
      <c r="D6" s="2">
        <v>6295</v>
      </c>
    </row>
    <row r="7" spans="1:4">
      <c r="A7" s="2" t="s">
        <v>13</v>
      </c>
      <c r="B7" s="3">
        <v>-25</v>
      </c>
      <c r="C7" s="2">
        <f t="shared" si="0"/>
        <v>5939.35</v>
      </c>
      <c r="D7" s="2">
        <v>5880</v>
      </c>
    </row>
    <row r="8" spans="1:4">
      <c r="A8" s="2" t="s">
        <v>14</v>
      </c>
      <c r="B8" s="3">
        <v>-475</v>
      </c>
      <c r="C8" s="2">
        <f t="shared" si="0"/>
        <v>5432.22</v>
      </c>
      <c r="D8" s="2">
        <v>5567</v>
      </c>
    </row>
    <row r="9" spans="1:4">
      <c r="A9" s="2" t="s">
        <v>15</v>
      </c>
      <c r="B9" s="3">
        <v>575</v>
      </c>
      <c r="C9" s="2">
        <f t="shared" si="0"/>
        <v>5975.09</v>
      </c>
      <c r="D9" s="2">
        <v>5855</v>
      </c>
    </row>
    <row r="10" spans="1:4">
      <c r="A10" s="2" t="s">
        <v>16</v>
      </c>
      <c r="B10" s="3">
        <v>-1900</v>
      </c>
      <c r="C10" s="2">
        <f t="shared" si="0"/>
        <v>4042.96</v>
      </c>
      <c r="D10" s="2">
        <v>4188</v>
      </c>
    </row>
    <row r="11" spans="1:4">
      <c r="A11" s="2" t="s">
        <v>17</v>
      </c>
      <c r="B11" s="3">
        <v>125</v>
      </c>
      <c r="C11" s="2">
        <f t="shared" si="0"/>
        <v>4135.83</v>
      </c>
      <c r="D11" s="2">
        <v>4596</v>
      </c>
    </row>
    <row r="12" spans="1:4">
      <c r="A12" s="2" t="s">
        <v>18</v>
      </c>
      <c r="B12" s="3">
        <v>100</v>
      </c>
      <c r="C12" s="2">
        <f t="shared" si="0"/>
        <v>4203.7</v>
      </c>
      <c r="D12" s="2">
        <v>4393</v>
      </c>
    </row>
    <row r="13" spans="1:4">
      <c r="A13" s="2" t="s">
        <v>19</v>
      </c>
      <c r="B13" s="3">
        <v>0</v>
      </c>
      <c r="C13" s="2">
        <f t="shared" si="0"/>
        <v>4171.57</v>
      </c>
      <c r="D13" s="2">
        <v>4463</v>
      </c>
    </row>
    <row r="14" spans="1:4">
      <c r="A14" s="2" t="s">
        <v>20</v>
      </c>
      <c r="B14" s="3">
        <v>300</v>
      </c>
      <c r="C14" s="2">
        <f t="shared" si="0"/>
        <v>4439.44</v>
      </c>
      <c r="D14" s="2">
        <v>4344</v>
      </c>
    </row>
    <row r="15" spans="1:4">
      <c r="A15" s="2" t="s">
        <v>21</v>
      </c>
      <c r="B15" s="3">
        <v>1000</v>
      </c>
      <c r="C15" s="2">
        <f t="shared" si="0"/>
        <v>5407.31</v>
      </c>
      <c r="D15" s="2">
        <v>4956</v>
      </c>
    </row>
    <row r="16" spans="1:4">
      <c r="A16" s="2" t="s">
        <v>22</v>
      </c>
      <c r="B16" s="3">
        <v>175</v>
      </c>
      <c r="C16" s="2">
        <f t="shared" si="0"/>
        <v>5550.18</v>
      </c>
      <c r="D16" s="2">
        <v>4924</v>
      </c>
    </row>
    <row r="17" spans="1:4">
      <c r="A17" s="2" t="s">
        <v>23</v>
      </c>
      <c r="B17" s="3">
        <v>950</v>
      </c>
      <c r="C17" s="2">
        <f t="shared" si="0"/>
        <v>6468.05</v>
      </c>
      <c r="D17" s="2">
        <v>5174</v>
      </c>
    </row>
    <row r="18" spans="1:4">
      <c r="A18" s="2" t="s">
        <v>24</v>
      </c>
      <c r="B18" s="3">
        <v>-475</v>
      </c>
      <c r="C18" s="2">
        <f t="shared" si="0"/>
        <v>5960.92</v>
      </c>
      <c r="D18" s="2">
        <v>4348</v>
      </c>
    </row>
    <row r="19" spans="1:4">
      <c r="A19" s="2" t="s">
        <v>25</v>
      </c>
      <c r="B19" s="3">
        <v>-1475</v>
      </c>
      <c r="C19" s="2">
        <f t="shared" si="0"/>
        <v>4453.79</v>
      </c>
      <c r="D19" s="2">
        <v>3095</v>
      </c>
    </row>
    <row r="20" spans="1:4">
      <c r="A20" s="2" t="s">
        <v>26</v>
      </c>
      <c r="B20" s="3">
        <v>-1075</v>
      </c>
      <c r="C20" s="2">
        <f t="shared" si="0"/>
        <v>3346.66</v>
      </c>
      <c r="D20" s="2">
        <v>1969</v>
      </c>
    </row>
    <row r="21" spans="1:4">
      <c r="A21" s="2" t="s">
        <v>27</v>
      </c>
      <c r="B21" s="3">
        <v>-1600</v>
      </c>
      <c r="C21" s="2">
        <f t="shared" si="0"/>
        <v>1714.53</v>
      </c>
      <c r="D21" s="2">
        <v>155</v>
      </c>
    </row>
    <row r="22" spans="1:4">
      <c r="A22" s="2" t="s">
        <v>28</v>
      </c>
      <c r="B22" s="3">
        <v>500</v>
      </c>
      <c r="C22" s="2">
        <f t="shared" si="0"/>
        <v>2182.4</v>
      </c>
      <c r="D22" s="2">
        <v>882</v>
      </c>
    </row>
    <row r="23" spans="1:4">
      <c r="A23" s="2" t="s">
        <v>29</v>
      </c>
      <c r="B23" s="3">
        <v>-50</v>
      </c>
      <c r="C23" s="2">
        <f t="shared" si="0"/>
        <v>2100.27</v>
      </c>
      <c r="D23" s="2">
        <v>915</v>
      </c>
    </row>
    <row r="24" spans="1:4">
      <c r="A24" s="2" t="s">
        <v>30</v>
      </c>
      <c r="B24" s="3">
        <v>-975</v>
      </c>
      <c r="C24" s="2">
        <f t="shared" si="0"/>
        <v>1093.14</v>
      </c>
      <c r="D24" s="2">
        <v>-337</v>
      </c>
    </row>
    <row r="25" spans="1:4">
      <c r="A25" s="2" t="s">
        <v>31</v>
      </c>
      <c r="B25" s="3">
        <v>100</v>
      </c>
      <c r="C25" s="2">
        <f t="shared" si="0"/>
        <v>1161.01</v>
      </c>
      <c r="D25" s="2">
        <v>15</v>
      </c>
    </row>
    <row r="26" spans="1:4">
      <c r="A26" s="2" t="s">
        <v>32</v>
      </c>
      <c r="B26" s="3">
        <v>-800</v>
      </c>
      <c r="C26" s="2">
        <f t="shared" si="0"/>
        <v>328.879999999997</v>
      </c>
      <c r="D26" s="2">
        <v>-290</v>
      </c>
    </row>
    <row r="27" spans="1:4">
      <c r="A27" s="2" t="s">
        <v>33</v>
      </c>
      <c r="B27" s="3">
        <v>-325</v>
      </c>
      <c r="C27" s="2">
        <f t="shared" si="0"/>
        <v>-28.2500000000025</v>
      </c>
      <c r="D27" s="2">
        <v>-52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6"/>
  <sheetViews>
    <sheetView zoomScale="235" zoomScaleNormal="235" workbookViewId="0">
      <selection activeCell="C2" sqref="C2:C4"/>
    </sheetView>
  </sheetViews>
  <sheetFormatPr defaultColWidth="9" defaultRowHeight="13.5" outlineLevelRow="5" outlineLevelCol="2"/>
  <sheetData>
    <row r="2" customFormat="1" spans="2:3">
      <c r="B2" s="1" t="s">
        <v>45</v>
      </c>
      <c r="C2" s="1"/>
    </row>
    <row r="3" customFormat="1" spans="2:3">
      <c r="B3" s="1" t="s">
        <v>46</v>
      </c>
      <c r="C3" s="1"/>
    </row>
    <row r="4" customFormat="1" spans="2:3">
      <c r="B4" s="1" t="s">
        <v>47</v>
      </c>
      <c r="C4" s="1"/>
    </row>
    <row r="5" customFormat="1"/>
    <row r="6" customFormat="1" spans="2:3">
      <c r="B6" s="2" t="s">
        <v>48</v>
      </c>
      <c r="C6" s="2"/>
    </row>
  </sheetData>
  <mergeCells count="1">
    <mergeCell ref="B6:C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5" zoomScaleNormal="85" workbookViewId="0">
      <selection activeCell="A1" sqref="$A1:$XFD1048576"/>
    </sheetView>
  </sheetViews>
  <sheetFormatPr defaultColWidth="9" defaultRowHeight="13.5"/>
  <cols>
    <col min="2" max="2" width="13.75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额外阳光消耗</vt:lpstr>
      <vt:lpstr>模型参数</vt:lpstr>
      <vt:lpstr>折线对比1</vt:lpstr>
      <vt:lpstr>破阵率</vt:lpstr>
      <vt:lpstr>截图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乔荔(2022012959)</cp:lastModifiedBy>
  <dcterms:created xsi:type="dcterms:W3CDTF">2025-02-03T01:50:00Z</dcterms:created>
  <dcterms:modified xsi:type="dcterms:W3CDTF">2025-05-03T00:24:05Z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D4A6D8782FF748E1B7A89F134702C9EF_12</vt:lpwstr>
  </property>
  <property fmtid="{D5CDD505-2E9C-101B-9397-08002B2CF9AE}" pid="3" name="KSOProductBuildVer">
    <vt:lpwstr>2052-11.1.0.14036</vt:lpwstr>
  </property>
</Properties>
</file>