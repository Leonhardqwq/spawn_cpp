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640" windowHeight="15525" activeTab="3"/>
  </bookViews>
  <sheets>
    <sheet name="汇总" sheetId="4" r:id="rId1"/>
    <sheet name="额外阳光消耗" sheetId="6" r:id="rId2"/>
    <sheet name="模型参数" sheetId="5" r:id="rId3"/>
    <sheet name="折线对比1" sheetId="7" r:id="rId4"/>
    <sheet name="截图" sheetId="10" r:id="rId5"/>
  </sheets>
  <calcPr calcId="144525"/>
</workbook>
</file>

<file path=xl/sharedStrings.xml><?xml version="1.0" encoding="utf-8"?>
<sst xmlns="http://schemas.openxmlformats.org/spreadsheetml/2006/main" count="129" uniqueCount="66">
  <si>
    <t>flag</t>
  </si>
  <si>
    <t>Y</t>
  </si>
  <si>
    <t>路障</t>
  </si>
  <si>
    <t>撑杆</t>
  </si>
  <si>
    <t>铁桶</t>
  </si>
  <si>
    <t>读报</t>
  </si>
  <si>
    <t>铁门</t>
  </si>
  <si>
    <t>橄榄</t>
  </si>
  <si>
    <t>舞王</t>
  </si>
  <si>
    <t>潜水</t>
  </si>
  <si>
    <t>冰车</t>
  </si>
  <si>
    <t>海豚</t>
  </si>
  <si>
    <t>小丑</t>
  </si>
  <si>
    <t>气球</t>
  </si>
  <si>
    <t>矿工</t>
  </si>
  <si>
    <t>跳跳</t>
  </si>
  <si>
    <t>蹦极</t>
  </si>
  <si>
    <t>扶梯</t>
  </si>
  <si>
    <t>投篮</t>
  </si>
  <si>
    <t>白眼</t>
  </si>
  <si>
    <t>红眼</t>
  </si>
  <si>
    <t>权重和</t>
  </si>
  <si>
    <t>2002f</t>
  </si>
  <si>
    <t>2004f</t>
  </si>
  <si>
    <t>2006f</t>
  </si>
  <si>
    <t>2008f</t>
  </si>
  <si>
    <t>2010f</t>
  </si>
  <si>
    <t>2012f</t>
  </si>
  <si>
    <t>2014f</t>
  </si>
  <si>
    <t>2016f</t>
  </si>
  <si>
    <t>2018f</t>
  </si>
  <si>
    <t>2020f</t>
  </si>
  <si>
    <t>2022f</t>
  </si>
  <si>
    <t>2024f</t>
  </si>
  <si>
    <t>2026f</t>
  </si>
  <si>
    <t>2028f</t>
  </si>
  <si>
    <t>2030f</t>
  </si>
  <si>
    <t>2032f</t>
  </si>
  <si>
    <t>2034f</t>
  </si>
  <si>
    <t>2036f</t>
  </si>
  <si>
    <t>2038f</t>
  </si>
  <si>
    <t>2040f</t>
  </si>
  <si>
    <t>2042f</t>
  </si>
  <si>
    <t>2044f</t>
  </si>
  <si>
    <t>2046f</t>
  </si>
  <si>
    <t>2048f</t>
  </si>
  <si>
    <t>2050f</t>
  </si>
  <si>
    <t>个数</t>
  </si>
  <si>
    <t>均摊阳光</t>
  </si>
  <si>
    <t>曾损</t>
  </si>
  <si>
    <t>南瓜</t>
  </si>
  <si>
    <t>总共</t>
  </si>
  <si>
    <t>矿工南瓜</t>
  </si>
  <si>
    <t>最后</t>
  </si>
  <si>
    <t>中途</t>
  </si>
  <si>
    <t>总计</t>
  </si>
  <si>
    <t>dlt</t>
  </si>
  <si>
    <t>pred</t>
  </si>
  <si>
    <t>pred2</t>
  </si>
  <si>
    <t>红</t>
  </si>
  <si>
    <t>车</t>
  </si>
  <si>
    <t>橄</t>
  </si>
  <si>
    <t>气</t>
  </si>
  <si>
    <t>舞</t>
  </si>
  <si>
    <t>杆</t>
  </si>
  <si>
    <t>白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</si>
</sst>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4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0.5"/>
      <color theme="1"/>
      <name val="Segoe UI"/>
      <charset val="134"/>
    </font>
    <font>
      <sz val="10.5"/>
      <color theme="1"/>
      <name val="宋体"/>
      <charset val="134"/>
    </font>
    <font>
      <sz val="10.5"/>
      <color theme="1"/>
      <name val="Segoe UI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7" fillId="11" borderId="6" applyNumberFormat="0" applyAlignment="0" applyProtection="0">
      <alignment vertical="center"/>
    </xf>
    <xf numFmtId="0" fontId="18" fillId="11" borderId="2" applyNumberFormat="0" applyAlignment="0" applyProtection="0">
      <alignment vertical="center"/>
    </xf>
    <xf numFmtId="0" fontId="19" fillId="12" borderId="7" applyNumberForma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Fill="1" applyBorder="1">
      <alignment vertical="center"/>
    </xf>
    <xf numFmtId="0" fontId="0" fillId="0" borderId="1" xfId="0" applyFill="1" applyBorder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  <xf numFmtId="0" fontId="4" fillId="0" borderId="0" xfId="0" applyFont="1" applyAlignment="1">
      <alignment horizontal="right" vertical="center" wrapText="1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"TRUE"</c:f>
              <c:strCache>
                <c:ptCount val="1"/>
                <c:pt idx="0">
                  <c:v>TRUE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折线对比1!$C$2:$C$27</c:f>
              <c:numCache>
                <c:formatCode>General</c:formatCode>
                <c:ptCount val="26"/>
                <c:pt idx="0">
                  <c:v>8000</c:v>
                </c:pt>
                <c:pt idx="1">
                  <c:v>8137.83</c:v>
                </c:pt>
                <c:pt idx="2">
                  <c:v>7775.66</c:v>
                </c:pt>
                <c:pt idx="3">
                  <c:v>6763.49</c:v>
                </c:pt>
                <c:pt idx="4">
                  <c:v>5976.32</c:v>
                </c:pt>
                <c:pt idx="5">
                  <c:v>5914.15</c:v>
                </c:pt>
                <c:pt idx="6">
                  <c:v>5401.98</c:v>
                </c:pt>
                <c:pt idx="7">
                  <c:v>5939.81</c:v>
                </c:pt>
                <c:pt idx="8">
                  <c:v>4002.64</c:v>
                </c:pt>
                <c:pt idx="9">
                  <c:v>4090.47</c:v>
                </c:pt>
                <c:pt idx="10">
                  <c:v>4153.3</c:v>
                </c:pt>
                <c:pt idx="11">
                  <c:v>4116.13</c:v>
                </c:pt>
                <c:pt idx="12">
                  <c:v>4378.96</c:v>
                </c:pt>
                <c:pt idx="13">
                  <c:v>5341.79</c:v>
                </c:pt>
                <c:pt idx="14">
                  <c:v>5479.62</c:v>
                </c:pt>
                <c:pt idx="15">
                  <c:v>6392.45</c:v>
                </c:pt>
                <c:pt idx="16">
                  <c:v>5880.28</c:v>
                </c:pt>
                <c:pt idx="17">
                  <c:v>4368.11</c:v>
                </c:pt>
                <c:pt idx="18">
                  <c:v>3255.94</c:v>
                </c:pt>
                <c:pt idx="19">
                  <c:v>1618.77</c:v>
                </c:pt>
                <c:pt idx="20">
                  <c:v>2081.6</c:v>
                </c:pt>
                <c:pt idx="21">
                  <c:v>1994.43</c:v>
                </c:pt>
                <c:pt idx="22">
                  <c:v>982.259999999999</c:v>
                </c:pt>
                <c:pt idx="23">
                  <c:v>1045.09</c:v>
                </c:pt>
                <c:pt idx="24">
                  <c:v>207.919999999998</c:v>
                </c:pt>
                <c:pt idx="25">
                  <c:v>-179.250000000002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"pred"</c:f>
              <c:strCache>
                <c:ptCount val="1"/>
                <c:pt idx="0">
                  <c:v>pred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折线对比1!$D$2:$D$27</c:f>
              <c:numCache>
                <c:formatCode>General</c:formatCode>
                <c:ptCount val="26"/>
                <c:pt idx="0">
                  <c:v>8000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折线对比1!$F$1</c:f>
              <c:strCache>
                <c:ptCount val="1"/>
                <c:pt idx="0">
                  <c:v>pred2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折线对比1!$F$2:$F$27</c:f>
              <c:numCache>
                <c:formatCode>General</c:formatCode>
                <c:ptCount val="26"/>
                <c:pt idx="0">
                  <c:v>8000</c:v>
                </c:pt>
                <c:pt idx="1">
                  <c:v>7913</c:v>
                </c:pt>
                <c:pt idx="2">
                  <c:v>7631</c:v>
                </c:pt>
                <c:pt idx="3">
                  <c:v>6826</c:v>
                </c:pt>
                <c:pt idx="4">
                  <c:v>6019</c:v>
                </c:pt>
                <c:pt idx="5">
                  <c:v>5950</c:v>
                </c:pt>
                <c:pt idx="6">
                  <c:v>5525</c:v>
                </c:pt>
                <c:pt idx="7">
                  <c:v>6092</c:v>
                </c:pt>
                <c:pt idx="8">
                  <c:v>4523</c:v>
                </c:pt>
                <c:pt idx="9">
                  <c:v>4503</c:v>
                </c:pt>
                <c:pt idx="10">
                  <c:v>4479</c:v>
                </c:pt>
                <c:pt idx="11">
                  <c:v>4589</c:v>
                </c:pt>
                <c:pt idx="12">
                  <c:v>4572</c:v>
                </c:pt>
                <c:pt idx="13">
                  <c:v>5345</c:v>
                </c:pt>
                <c:pt idx="14">
                  <c:v>5308</c:v>
                </c:pt>
                <c:pt idx="15">
                  <c:v>5780</c:v>
                </c:pt>
                <c:pt idx="16">
                  <c:v>4902</c:v>
                </c:pt>
                <c:pt idx="17">
                  <c:v>3457</c:v>
                </c:pt>
                <c:pt idx="18">
                  <c:v>2580</c:v>
                </c:pt>
                <c:pt idx="19">
                  <c:v>1230</c:v>
                </c:pt>
                <c:pt idx="20">
                  <c:v>2127</c:v>
                </c:pt>
                <c:pt idx="21">
                  <c:v>1827</c:v>
                </c:pt>
                <c:pt idx="22">
                  <c:v>383</c:v>
                </c:pt>
                <c:pt idx="23">
                  <c:v>499</c:v>
                </c:pt>
                <c:pt idx="24">
                  <c:v>-172</c:v>
                </c:pt>
                <c:pt idx="25">
                  <c:v>-179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878757453"/>
        <c:axId val="495685896"/>
      </c:lineChart>
      <c:catAx>
        <c:axId val="87875745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95685896"/>
        <c:crosses val="autoZero"/>
        <c:auto val="1"/>
        <c:lblAlgn val="ctr"/>
        <c:lblOffset val="100"/>
        <c:noMultiLvlLbl val="0"/>
      </c:catAx>
      <c:valAx>
        <c:axId val="495685896"/>
        <c:scaling>
          <c:orientation val="minMax"/>
          <c:max val="8500"/>
          <c:min val="-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7875745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691515</xdr:colOff>
      <xdr:row>4</xdr:row>
      <xdr:rowOff>8890</xdr:rowOff>
    </xdr:from>
    <xdr:to>
      <xdr:col>10</xdr:col>
      <xdr:colOff>536575</xdr:colOff>
      <xdr:row>22</xdr:row>
      <xdr:rowOff>115570</xdr:rowOff>
    </xdr:to>
    <xdr:graphicFrame>
      <xdr:nvGraphicFramePr>
        <xdr:cNvPr id="4" name="图表 3"/>
        <xdr:cNvGraphicFramePr/>
      </xdr:nvGraphicFramePr>
      <xdr:xfrm>
        <a:off x="2748915" y="694690"/>
        <a:ext cx="5614670" cy="31927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6"/>
  <sheetViews>
    <sheetView zoomScale="115" zoomScaleNormal="115" workbookViewId="0">
      <selection activeCell="G41" sqref="G41"/>
    </sheetView>
  </sheetViews>
  <sheetFormatPr defaultColWidth="9" defaultRowHeight="13.5"/>
  <cols>
    <col min="1" max="1" width="9" style="1"/>
    <col min="2" max="2" width="13.75" style="1"/>
    <col min="3" max="3" width="9" style="1" customWidth="1"/>
    <col min="4" max="16384" width="9" style="1"/>
  </cols>
  <sheetData>
    <row r="1" spans="1:2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</row>
    <row r="2" spans="1:22">
      <c r="A2" s="2" t="s">
        <v>22</v>
      </c>
      <c r="B2" s="2">
        <v>175</v>
      </c>
      <c r="C2" s="3">
        <v>0</v>
      </c>
      <c r="D2" s="3">
        <v>0</v>
      </c>
      <c r="E2" s="3">
        <v>1</v>
      </c>
      <c r="F2" s="3">
        <v>1</v>
      </c>
      <c r="G2" s="3">
        <v>0</v>
      </c>
      <c r="H2" s="3">
        <v>0</v>
      </c>
      <c r="I2" s="3">
        <v>0</v>
      </c>
      <c r="J2" s="3">
        <v>0</v>
      </c>
      <c r="K2" s="3">
        <v>1</v>
      </c>
      <c r="L2" s="3">
        <v>0</v>
      </c>
      <c r="M2" s="3">
        <v>1</v>
      </c>
      <c r="N2" s="3">
        <v>1</v>
      </c>
      <c r="O2" s="3">
        <v>0</v>
      </c>
      <c r="P2" s="3">
        <v>0</v>
      </c>
      <c r="Q2" s="3">
        <v>0</v>
      </c>
      <c r="R2" s="3">
        <v>1</v>
      </c>
      <c r="S2" s="3">
        <v>1</v>
      </c>
      <c r="T2" s="3">
        <v>1</v>
      </c>
      <c r="U2" s="3">
        <v>1</v>
      </c>
      <c r="V2" s="3">
        <v>14401</v>
      </c>
    </row>
    <row r="3" spans="1:22">
      <c r="A3" s="2" t="s">
        <v>23</v>
      </c>
      <c r="B3" s="2">
        <v>-325</v>
      </c>
      <c r="C3" s="3">
        <v>1</v>
      </c>
      <c r="D3" s="3">
        <v>1</v>
      </c>
      <c r="E3" s="3">
        <v>1</v>
      </c>
      <c r="F3" s="3">
        <v>1</v>
      </c>
      <c r="G3" s="3">
        <v>0</v>
      </c>
      <c r="H3" s="3">
        <v>1</v>
      </c>
      <c r="I3" s="3">
        <v>1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1</v>
      </c>
      <c r="P3" s="3">
        <v>0</v>
      </c>
      <c r="Q3" s="3">
        <v>0</v>
      </c>
      <c r="R3" s="3">
        <v>1</v>
      </c>
      <c r="S3" s="3">
        <v>0</v>
      </c>
      <c r="T3" s="3">
        <v>0</v>
      </c>
      <c r="U3" s="3">
        <v>1</v>
      </c>
      <c r="V3" s="3">
        <v>13401</v>
      </c>
    </row>
    <row r="4" spans="1:22">
      <c r="A4" s="2" t="s">
        <v>24</v>
      </c>
      <c r="B4" s="2">
        <v>-975</v>
      </c>
      <c r="C4" s="3">
        <v>1</v>
      </c>
      <c r="D4" s="3">
        <v>0</v>
      </c>
      <c r="E4" s="3">
        <v>1</v>
      </c>
      <c r="F4" s="3">
        <v>0</v>
      </c>
      <c r="G4" s="3">
        <v>0</v>
      </c>
      <c r="H4" s="3">
        <v>1</v>
      </c>
      <c r="I4" s="3">
        <v>0</v>
      </c>
      <c r="J4" s="3">
        <v>0</v>
      </c>
      <c r="K4" s="3">
        <v>1</v>
      </c>
      <c r="L4" s="3">
        <v>0</v>
      </c>
      <c r="M4" s="3">
        <v>1</v>
      </c>
      <c r="N4" s="3">
        <v>1</v>
      </c>
      <c r="O4" s="3">
        <v>0</v>
      </c>
      <c r="P4" s="3">
        <v>0</v>
      </c>
      <c r="Q4" s="3">
        <v>1</v>
      </c>
      <c r="R4" s="3">
        <v>1</v>
      </c>
      <c r="S4" s="3">
        <v>0</v>
      </c>
      <c r="T4" s="3">
        <v>1</v>
      </c>
      <c r="U4" s="3">
        <v>1</v>
      </c>
      <c r="V4" s="3">
        <v>14901</v>
      </c>
    </row>
    <row r="5" spans="1:22">
      <c r="A5" s="2" t="s">
        <v>25</v>
      </c>
      <c r="B5" s="2">
        <v>-750</v>
      </c>
      <c r="C5" s="3">
        <v>1</v>
      </c>
      <c r="D5" s="3">
        <v>1</v>
      </c>
      <c r="E5" s="3">
        <v>0</v>
      </c>
      <c r="F5" s="3">
        <v>1</v>
      </c>
      <c r="G5" s="3">
        <v>0</v>
      </c>
      <c r="H5" s="3">
        <v>0</v>
      </c>
      <c r="I5" s="3">
        <v>0</v>
      </c>
      <c r="J5" s="3">
        <v>0</v>
      </c>
      <c r="K5" s="3">
        <v>1</v>
      </c>
      <c r="L5" s="3">
        <v>0</v>
      </c>
      <c r="M5" s="3">
        <v>1</v>
      </c>
      <c r="N5" s="3">
        <v>1</v>
      </c>
      <c r="O5" s="3">
        <v>1</v>
      </c>
      <c r="P5" s="3">
        <v>0</v>
      </c>
      <c r="Q5" s="3">
        <v>0</v>
      </c>
      <c r="R5" s="3">
        <v>0</v>
      </c>
      <c r="S5" s="3">
        <v>1</v>
      </c>
      <c r="T5" s="3">
        <v>0</v>
      </c>
      <c r="U5" s="3">
        <v>1</v>
      </c>
      <c r="V5" s="3">
        <v>12901</v>
      </c>
    </row>
    <row r="6" spans="1:22">
      <c r="A6" s="2" t="s">
        <v>26</v>
      </c>
      <c r="B6" s="2">
        <v>-25</v>
      </c>
      <c r="C6" s="3">
        <v>1</v>
      </c>
      <c r="D6" s="3">
        <v>1</v>
      </c>
      <c r="E6" s="3">
        <v>1</v>
      </c>
      <c r="F6" s="3">
        <v>1</v>
      </c>
      <c r="G6" s="3">
        <v>0</v>
      </c>
      <c r="H6" s="3">
        <v>0</v>
      </c>
      <c r="I6" s="3">
        <v>1</v>
      </c>
      <c r="J6" s="3">
        <v>0</v>
      </c>
      <c r="K6" s="3">
        <v>0</v>
      </c>
      <c r="L6" s="3">
        <v>0</v>
      </c>
      <c r="M6" s="3">
        <v>0</v>
      </c>
      <c r="N6" s="3">
        <v>1</v>
      </c>
      <c r="O6" s="3">
        <v>0</v>
      </c>
      <c r="P6" s="3">
        <v>0</v>
      </c>
      <c r="Q6" s="3">
        <v>0</v>
      </c>
      <c r="R6" s="3">
        <v>1</v>
      </c>
      <c r="S6" s="3">
        <v>0</v>
      </c>
      <c r="T6" s="3">
        <v>1</v>
      </c>
      <c r="U6" s="3">
        <v>1</v>
      </c>
      <c r="V6" s="3">
        <v>13901</v>
      </c>
    </row>
    <row r="7" spans="1:22">
      <c r="A7" s="2" t="s">
        <v>27</v>
      </c>
      <c r="B7" s="2">
        <v>-475</v>
      </c>
      <c r="C7" s="3">
        <v>1</v>
      </c>
      <c r="D7" s="3">
        <v>1</v>
      </c>
      <c r="E7" s="3">
        <v>0</v>
      </c>
      <c r="F7" s="3">
        <v>1</v>
      </c>
      <c r="G7" s="3">
        <v>1</v>
      </c>
      <c r="H7" s="3">
        <v>0</v>
      </c>
      <c r="I7" s="3">
        <v>1</v>
      </c>
      <c r="J7" s="3">
        <v>0</v>
      </c>
      <c r="K7" s="3">
        <v>0</v>
      </c>
      <c r="L7" s="3">
        <v>0</v>
      </c>
      <c r="M7" s="3">
        <v>0</v>
      </c>
      <c r="N7" s="3">
        <v>1</v>
      </c>
      <c r="O7" s="3">
        <v>1</v>
      </c>
      <c r="P7" s="3">
        <v>1</v>
      </c>
      <c r="Q7" s="3">
        <v>0</v>
      </c>
      <c r="R7" s="3">
        <v>1</v>
      </c>
      <c r="S7" s="3">
        <v>0</v>
      </c>
      <c r="T7" s="3">
        <v>0</v>
      </c>
      <c r="U7" s="3">
        <v>1</v>
      </c>
      <c r="V7" s="3">
        <v>14901</v>
      </c>
    </row>
    <row r="8" spans="1:22">
      <c r="A8" s="2" t="s">
        <v>28</v>
      </c>
      <c r="B8" s="2">
        <v>575</v>
      </c>
      <c r="C8" s="3">
        <v>1</v>
      </c>
      <c r="D8" s="3">
        <v>0</v>
      </c>
      <c r="E8" s="3">
        <v>1</v>
      </c>
      <c r="F8" s="3">
        <v>1</v>
      </c>
      <c r="G8" s="3">
        <v>1</v>
      </c>
      <c r="H8" s="3">
        <v>1</v>
      </c>
      <c r="I8" s="3">
        <v>0</v>
      </c>
      <c r="J8" s="3">
        <v>0</v>
      </c>
      <c r="K8" s="3">
        <v>1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1</v>
      </c>
      <c r="R8" s="3">
        <v>1</v>
      </c>
      <c r="S8" s="3">
        <v>1</v>
      </c>
      <c r="T8" s="3">
        <v>0</v>
      </c>
      <c r="U8" s="3">
        <v>1</v>
      </c>
      <c r="V8" s="3">
        <v>16401</v>
      </c>
    </row>
    <row r="9" spans="1:22">
      <c r="A9" s="2" t="s">
        <v>29</v>
      </c>
      <c r="B9" s="2">
        <v>-1900</v>
      </c>
      <c r="C9" s="3">
        <v>1</v>
      </c>
      <c r="D9" s="3">
        <v>0</v>
      </c>
      <c r="E9" s="3">
        <v>0</v>
      </c>
      <c r="F9" s="3">
        <v>1</v>
      </c>
      <c r="G9" s="3">
        <v>0</v>
      </c>
      <c r="H9" s="3">
        <v>1</v>
      </c>
      <c r="I9" s="3">
        <v>1</v>
      </c>
      <c r="J9" s="3">
        <v>0</v>
      </c>
      <c r="K9" s="3">
        <v>1</v>
      </c>
      <c r="L9" s="3">
        <v>0</v>
      </c>
      <c r="M9" s="3">
        <v>0</v>
      </c>
      <c r="N9" s="3">
        <v>1</v>
      </c>
      <c r="O9" s="3">
        <v>0</v>
      </c>
      <c r="P9" s="3">
        <v>0</v>
      </c>
      <c r="Q9" s="3">
        <v>1</v>
      </c>
      <c r="R9" s="3">
        <v>0</v>
      </c>
      <c r="S9" s="3">
        <v>1</v>
      </c>
      <c r="T9" s="3">
        <v>0</v>
      </c>
      <c r="U9" s="3">
        <v>1</v>
      </c>
      <c r="V9" s="3">
        <v>11901</v>
      </c>
    </row>
    <row r="10" spans="1:22">
      <c r="A10" s="2" t="s">
        <v>30</v>
      </c>
      <c r="B10" s="2">
        <v>125</v>
      </c>
      <c r="C10" s="3">
        <v>1</v>
      </c>
      <c r="D10" s="3">
        <v>0</v>
      </c>
      <c r="E10" s="3">
        <v>0</v>
      </c>
      <c r="F10" s="3">
        <v>1</v>
      </c>
      <c r="G10" s="3">
        <v>0</v>
      </c>
      <c r="H10" s="3">
        <v>0</v>
      </c>
      <c r="I10" s="3">
        <v>0</v>
      </c>
      <c r="J10" s="3">
        <v>0</v>
      </c>
      <c r="K10" s="3">
        <v>1</v>
      </c>
      <c r="L10" s="3">
        <v>0</v>
      </c>
      <c r="M10" s="3">
        <v>0</v>
      </c>
      <c r="N10" s="3">
        <v>0</v>
      </c>
      <c r="O10" s="3">
        <v>1</v>
      </c>
      <c r="P10" s="3">
        <v>0</v>
      </c>
      <c r="Q10" s="3">
        <v>0</v>
      </c>
      <c r="R10" s="3">
        <v>1</v>
      </c>
      <c r="S10" s="3">
        <v>1</v>
      </c>
      <c r="T10" s="3">
        <v>1</v>
      </c>
      <c r="U10" s="3">
        <v>1</v>
      </c>
      <c r="V10" s="3">
        <v>10401</v>
      </c>
    </row>
    <row r="11" spans="1:22">
      <c r="A11" s="2" t="s">
        <v>31</v>
      </c>
      <c r="B11" s="2">
        <v>100</v>
      </c>
      <c r="C11" s="3">
        <v>1</v>
      </c>
      <c r="D11" s="3">
        <v>1</v>
      </c>
      <c r="E11" s="3">
        <v>1</v>
      </c>
      <c r="F11" s="3">
        <v>0</v>
      </c>
      <c r="G11" s="3">
        <v>1</v>
      </c>
      <c r="H11" s="3">
        <v>1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1</v>
      </c>
      <c r="O11" s="3">
        <v>0</v>
      </c>
      <c r="P11" s="3">
        <v>0</v>
      </c>
      <c r="Q11" s="3">
        <v>0</v>
      </c>
      <c r="R11" s="3">
        <v>1</v>
      </c>
      <c r="S11" s="3">
        <v>0</v>
      </c>
      <c r="T11" s="3">
        <v>1</v>
      </c>
      <c r="U11" s="3">
        <v>1</v>
      </c>
      <c r="V11" s="3">
        <v>17401</v>
      </c>
    </row>
    <row r="12" spans="1:22">
      <c r="A12" s="2" t="s">
        <v>32</v>
      </c>
      <c r="B12" s="2">
        <v>0</v>
      </c>
      <c r="C12" s="3">
        <v>1</v>
      </c>
      <c r="D12" s="3">
        <v>1</v>
      </c>
      <c r="E12" s="3">
        <v>0</v>
      </c>
      <c r="F12" s="3">
        <v>0</v>
      </c>
      <c r="G12" s="3">
        <v>1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1</v>
      </c>
      <c r="O12" s="3">
        <v>0</v>
      </c>
      <c r="P12" s="3">
        <v>0</v>
      </c>
      <c r="Q12" s="3">
        <v>1</v>
      </c>
      <c r="R12" s="3">
        <v>0</v>
      </c>
      <c r="S12" s="3">
        <v>1</v>
      </c>
      <c r="T12" s="3">
        <v>1</v>
      </c>
      <c r="U12" s="3">
        <v>1</v>
      </c>
      <c r="V12" s="3">
        <v>12901</v>
      </c>
    </row>
    <row r="13" spans="1:22">
      <c r="A13" s="2" t="s">
        <v>33</v>
      </c>
      <c r="B13" s="2">
        <v>300</v>
      </c>
      <c r="C13" s="3">
        <v>1</v>
      </c>
      <c r="D13" s="3">
        <v>0</v>
      </c>
      <c r="E13" s="3">
        <v>0</v>
      </c>
      <c r="F13" s="3">
        <v>1</v>
      </c>
      <c r="G13" s="3">
        <v>1</v>
      </c>
      <c r="H13" s="3">
        <v>1</v>
      </c>
      <c r="I13" s="3">
        <v>0</v>
      </c>
      <c r="J13" s="3">
        <v>0</v>
      </c>
      <c r="K13" s="3">
        <v>1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1</v>
      </c>
      <c r="R13" s="3">
        <v>0</v>
      </c>
      <c r="S13" s="3">
        <v>0</v>
      </c>
      <c r="T13" s="3">
        <v>1</v>
      </c>
      <c r="U13" s="3">
        <v>1</v>
      </c>
      <c r="V13" s="3">
        <v>12401</v>
      </c>
    </row>
    <row r="14" spans="1:22">
      <c r="A14" s="2" t="s">
        <v>34</v>
      </c>
      <c r="B14" s="2">
        <v>1000</v>
      </c>
      <c r="C14" s="3">
        <v>1</v>
      </c>
      <c r="D14" s="3">
        <v>0</v>
      </c>
      <c r="E14" s="3">
        <v>0</v>
      </c>
      <c r="F14" s="3">
        <v>1</v>
      </c>
      <c r="G14" s="3">
        <v>1</v>
      </c>
      <c r="H14" s="3">
        <v>0</v>
      </c>
      <c r="I14" s="3">
        <v>0</v>
      </c>
      <c r="J14" s="3">
        <v>0</v>
      </c>
      <c r="K14" s="3">
        <v>1</v>
      </c>
      <c r="L14" s="3">
        <v>0</v>
      </c>
      <c r="M14" s="3">
        <v>1</v>
      </c>
      <c r="N14" s="3">
        <v>0</v>
      </c>
      <c r="O14" s="3">
        <v>0</v>
      </c>
      <c r="P14" s="3">
        <v>1</v>
      </c>
      <c r="Q14" s="3">
        <v>0</v>
      </c>
      <c r="R14" s="3">
        <v>0</v>
      </c>
      <c r="S14" s="3">
        <v>1</v>
      </c>
      <c r="T14" s="3">
        <v>0</v>
      </c>
      <c r="U14" s="3">
        <v>1</v>
      </c>
      <c r="V14" s="3">
        <v>12401</v>
      </c>
    </row>
    <row r="15" spans="1:22">
      <c r="A15" s="2" t="s">
        <v>35</v>
      </c>
      <c r="B15" s="2">
        <v>175</v>
      </c>
      <c r="C15" s="3">
        <v>1</v>
      </c>
      <c r="D15" s="3">
        <v>1</v>
      </c>
      <c r="E15" s="3">
        <v>0</v>
      </c>
      <c r="F15" s="3">
        <v>1</v>
      </c>
      <c r="G15" s="3">
        <v>1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1</v>
      </c>
      <c r="N15" s="3">
        <v>1</v>
      </c>
      <c r="O15" s="3">
        <v>0</v>
      </c>
      <c r="P15" s="3">
        <v>0</v>
      </c>
      <c r="Q15" s="3">
        <v>1</v>
      </c>
      <c r="R15" s="3">
        <v>0</v>
      </c>
      <c r="S15" s="3">
        <v>0</v>
      </c>
      <c r="T15" s="3">
        <v>0</v>
      </c>
      <c r="U15" s="3">
        <v>1</v>
      </c>
      <c r="V15" s="3">
        <v>11901</v>
      </c>
    </row>
    <row r="16" spans="1:22">
      <c r="A16" s="2" t="s">
        <v>36</v>
      </c>
      <c r="B16" s="2">
        <v>950</v>
      </c>
      <c r="C16" s="3">
        <v>1</v>
      </c>
      <c r="D16" s="3">
        <v>1</v>
      </c>
      <c r="E16" s="3">
        <v>1</v>
      </c>
      <c r="F16" s="3">
        <v>1</v>
      </c>
      <c r="G16" s="3">
        <v>0</v>
      </c>
      <c r="H16" s="3">
        <v>1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1</v>
      </c>
      <c r="S16" s="3">
        <v>1</v>
      </c>
      <c r="T16" s="3">
        <v>0</v>
      </c>
      <c r="U16" s="3">
        <v>1</v>
      </c>
      <c r="V16" s="3">
        <v>12901</v>
      </c>
    </row>
    <row r="17" spans="1:22">
      <c r="A17" s="2" t="s">
        <v>37</v>
      </c>
      <c r="B17" s="2">
        <v>-475</v>
      </c>
      <c r="C17" s="3">
        <v>1</v>
      </c>
      <c r="D17" s="3">
        <v>0</v>
      </c>
      <c r="E17" s="3">
        <v>0</v>
      </c>
      <c r="F17" s="3">
        <v>1</v>
      </c>
      <c r="G17" s="3">
        <v>0</v>
      </c>
      <c r="H17" s="3">
        <v>1</v>
      </c>
      <c r="I17" s="3">
        <v>0</v>
      </c>
      <c r="J17" s="3">
        <v>0</v>
      </c>
      <c r="K17" s="3">
        <v>1</v>
      </c>
      <c r="L17" s="3">
        <v>0</v>
      </c>
      <c r="M17" s="3">
        <v>0</v>
      </c>
      <c r="N17" s="3">
        <v>1</v>
      </c>
      <c r="O17" s="3">
        <v>0</v>
      </c>
      <c r="P17" s="3">
        <v>1</v>
      </c>
      <c r="Q17" s="3">
        <v>0</v>
      </c>
      <c r="R17" s="3">
        <v>1</v>
      </c>
      <c r="S17" s="3">
        <v>1</v>
      </c>
      <c r="T17" s="3">
        <v>1</v>
      </c>
      <c r="U17" s="3">
        <v>1</v>
      </c>
      <c r="V17" s="3">
        <v>14401</v>
      </c>
    </row>
    <row r="18" spans="1:22">
      <c r="A18" s="2" t="s">
        <v>38</v>
      </c>
      <c r="B18" s="2">
        <v>-1475</v>
      </c>
      <c r="C18" s="3">
        <v>1</v>
      </c>
      <c r="D18" s="3">
        <v>0</v>
      </c>
      <c r="E18" s="3">
        <v>0</v>
      </c>
      <c r="F18" s="3">
        <v>1</v>
      </c>
      <c r="G18" s="3">
        <v>0</v>
      </c>
      <c r="H18" s="3">
        <v>1</v>
      </c>
      <c r="I18" s="3">
        <v>1</v>
      </c>
      <c r="J18" s="3">
        <v>0</v>
      </c>
      <c r="K18" s="3">
        <v>0</v>
      </c>
      <c r="L18" s="3">
        <v>0</v>
      </c>
      <c r="M18" s="3">
        <v>0</v>
      </c>
      <c r="N18" s="3">
        <v>1</v>
      </c>
      <c r="O18" s="3">
        <v>0</v>
      </c>
      <c r="P18" s="3">
        <v>0</v>
      </c>
      <c r="Q18" s="3">
        <v>1</v>
      </c>
      <c r="R18" s="3">
        <v>0</v>
      </c>
      <c r="S18" s="3">
        <v>0</v>
      </c>
      <c r="T18" s="3">
        <v>1</v>
      </c>
      <c r="U18" s="3">
        <v>1</v>
      </c>
      <c r="V18" s="3">
        <v>9901</v>
      </c>
    </row>
    <row r="19" spans="1:22">
      <c r="A19" s="2" t="s">
        <v>39</v>
      </c>
      <c r="B19" s="2">
        <v>-1075</v>
      </c>
      <c r="C19" s="3">
        <v>1</v>
      </c>
      <c r="D19" s="3">
        <v>1</v>
      </c>
      <c r="E19" s="3">
        <v>0</v>
      </c>
      <c r="F19" s="3">
        <v>1</v>
      </c>
      <c r="G19" s="3">
        <v>0</v>
      </c>
      <c r="H19" s="3">
        <v>1</v>
      </c>
      <c r="I19" s="3">
        <v>0</v>
      </c>
      <c r="J19" s="3">
        <v>0</v>
      </c>
      <c r="K19" s="3">
        <v>1</v>
      </c>
      <c r="L19" s="3">
        <v>0</v>
      </c>
      <c r="M19" s="3">
        <v>0</v>
      </c>
      <c r="N19" s="3">
        <v>1</v>
      </c>
      <c r="O19" s="3">
        <v>0</v>
      </c>
      <c r="P19" s="3">
        <v>0</v>
      </c>
      <c r="Q19" s="3">
        <v>1</v>
      </c>
      <c r="R19" s="3">
        <v>0</v>
      </c>
      <c r="S19" s="3">
        <v>1</v>
      </c>
      <c r="T19" s="3">
        <v>1</v>
      </c>
      <c r="U19" s="3">
        <v>1</v>
      </c>
      <c r="V19" s="3">
        <v>14401</v>
      </c>
    </row>
    <row r="20" spans="1:22">
      <c r="A20" s="2" t="s">
        <v>40</v>
      </c>
      <c r="B20" s="2">
        <v>-1600</v>
      </c>
      <c r="C20" s="3">
        <v>1</v>
      </c>
      <c r="D20" s="3">
        <v>1</v>
      </c>
      <c r="E20" s="3">
        <v>0</v>
      </c>
      <c r="F20" s="3">
        <v>0</v>
      </c>
      <c r="G20" s="3">
        <v>0</v>
      </c>
      <c r="H20" s="3">
        <v>1</v>
      </c>
      <c r="I20" s="3">
        <v>1</v>
      </c>
      <c r="J20" s="3">
        <v>0</v>
      </c>
      <c r="K20" s="3">
        <v>1</v>
      </c>
      <c r="L20" s="3">
        <v>0</v>
      </c>
      <c r="M20" s="3">
        <v>1</v>
      </c>
      <c r="N20" s="3">
        <v>1</v>
      </c>
      <c r="O20" s="3">
        <v>0</v>
      </c>
      <c r="P20" s="3">
        <v>0</v>
      </c>
      <c r="Q20" s="3">
        <v>0</v>
      </c>
      <c r="R20" s="3">
        <v>1</v>
      </c>
      <c r="S20" s="3">
        <v>0</v>
      </c>
      <c r="T20" s="3">
        <v>0</v>
      </c>
      <c r="U20" s="3">
        <v>1</v>
      </c>
      <c r="V20" s="3">
        <v>13401</v>
      </c>
    </row>
    <row r="21" spans="1:22">
      <c r="A21" s="2" t="s">
        <v>41</v>
      </c>
      <c r="B21" s="2">
        <v>500</v>
      </c>
      <c r="C21" s="3">
        <v>1</v>
      </c>
      <c r="D21" s="3">
        <v>1</v>
      </c>
      <c r="E21" s="3">
        <v>0</v>
      </c>
      <c r="F21" s="3">
        <v>1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1</v>
      </c>
      <c r="N21" s="3">
        <v>0</v>
      </c>
      <c r="O21" s="3">
        <v>0</v>
      </c>
      <c r="P21" s="3">
        <v>0</v>
      </c>
      <c r="Q21" s="3">
        <v>0</v>
      </c>
      <c r="R21" s="3">
        <v>1</v>
      </c>
      <c r="S21" s="3">
        <v>1</v>
      </c>
      <c r="T21" s="3">
        <v>1</v>
      </c>
      <c r="U21" s="3">
        <v>1</v>
      </c>
      <c r="V21" s="3">
        <v>10401</v>
      </c>
    </row>
    <row r="22" spans="1:22">
      <c r="A22" s="2" t="s">
        <v>42</v>
      </c>
      <c r="B22" s="2">
        <v>-50</v>
      </c>
      <c r="C22" s="3">
        <v>1</v>
      </c>
      <c r="D22" s="3">
        <v>0</v>
      </c>
      <c r="E22" s="3">
        <v>0</v>
      </c>
      <c r="F22" s="3">
        <v>1</v>
      </c>
      <c r="G22" s="3">
        <v>1</v>
      </c>
      <c r="H22" s="3">
        <v>1</v>
      </c>
      <c r="I22" s="3">
        <v>0</v>
      </c>
      <c r="J22" s="3">
        <v>0</v>
      </c>
      <c r="K22" s="3">
        <v>1</v>
      </c>
      <c r="L22" s="3">
        <v>0</v>
      </c>
      <c r="M22" s="3">
        <v>1</v>
      </c>
      <c r="N22" s="3">
        <v>0</v>
      </c>
      <c r="O22" s="3">
        <v>1</v>
      </c>
      <c r="P22" s="3">
        <v>0</v>
      </c>
      <c r="Q22" s="3">
        <v>0</v>
      </c>
      <c r="R22" s="3">
        <v>1</v>
      </c>
      <c r="S22" s="3">
        <v>0</v>
      </c>
      <c r="T22" s="3">
        <v>0</v>
      </c>
      <c r="U22" s="3">
        <v>1</v>
      </c>
      <c r="V22" s="3">
        <v>13901</v>
      </c>
    </row>
    <row r="23" spans="1:22">
      <c r="A23" s="2" t="s">
        <v>43</v>
      </c>
      <c r="B23" s="2">
        <v>-975</v>
      </c>
      <c r="C23" s="3">
        <v>0</v>
      </c>
      <c r="D23" s="3">
        <v>0</v>
      </c>
      <c r="E23" s="3">
        <v>0</v>
      </c>
      <c r="F23" s="3">
        <v>1</v>
      </c>
      <c r="G23" s="3">
        <v>0</v>
      </c>
      <c r="H23" s="3">
        <v>1</v>
      </c>
      <c r="I23" s="3">
        <v>1</v>
      </c>
      <c r="J23" s="3">
        <v>0</v>
      </c>
      <c r="K23" s="3">
        <v>0</v>
      </c>
      <c r="L23" s="3">
        <v>0</v>
      </c>
      <c r="M23" s="3">
        <v>0</v>
      </c>
      <c r="N23" s="3">
        <v>1</v>
      </c>
      <c r="O23" s="3">
        <v>0</v>
      </c>
      <c r="P23" s="3">
        <v>1</v>
      </c>
      <c r="Q23" s="3">
        <v>1</v>
      </c>
      <c r="R23" s="3">
        <v>0</v>
      </c>
      <c r="S23" s="3">
        <v>1</v>
      </c>
      <c r="T23" s="3">
        <v>0</v>
      </c>
      <c r="U23" s="3">
        <v>1</v>
      </c>
      <c r="V23" s="3">
        <v>9901</v>
      </c>
    </row>
    <row r="24" s="1" customFormat="1" spans="1:22">
      <c r="A24" s="2" t="s">
        <v>44</v>
      </c>
      <c r="B24" s="2">
        <v>100</v>
      </c>
      <c r="C24" s="3">
        <v>0</v>
      </c>
      <c r="D24" s="3">
        <v>1</v>
      </c>
      <c r="E24" s="3">
        <v>1</v>
      </c>
      <c r="F24" s="3">
        <v>1</v>
      </c>
      <c r="G24" s="3">
        <v>0</v>
      </c>
      <c r="H24" s="3">
        <v>1</v>
      </c>
      <c r="I24" s="3">
        <v>0</v>
      </c>
      <c r="J24" s="3">
        <v>0</v>
      </c>
      <c r="K24" s="3">
        <v>0</v>
      </c>
      <c r="L24" s="3">
        <v>0</v>
      </c>
      <c r="M24" s="3">
        <v>1</v>
      </c>
      <c r="N24" s="3">
        <v>0</v>
      </c>
      <c r="O24" s="3">
        <v>1</v>
      </c>
      <c r="P24" s="3">
        <v>0</v>
      </c>
      <c r="Q24" s="3">
        <v>1</v>
      </c>
      <c r="R24" s="3">
        <v>1</v>
      </c>
      <c r="S24" s="3">
        <v>0</v>
      </c>
      <c r="T24" s="3">
        <v>1</v>
      </c>
      <c r="U24" s="3">
        <v>1</v>
      </c>
      <c r="V24" s="3">
        <v>13901</v>
      </c>
    </row>
    <row r="25" spans="1:22">
      <c r="A25" s="2" t="s">
        <v>45</v>
      </c>
      <c r="B25" s="2">
        <v>-800</v>
      </c>
      <c r="C25" s="3">
        <v>0</v>
      </c>
      <c r="D25" s="3">
        <v>1</v>
      </c>
      <c r="E25" s="3">
        <v>0</v>
      </c>
      <c r="F25" s="3">
        <v>1</v>
      </c>
      <c r="G25" s="3">
        <v>1</v>
      </c>
      <c r="H25" s="3">
        <v>1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1</v>
      </c>
      <c r="O25" s="3">
        <v>1</v>
      </c>
      <c r="P25" s="3">
        <v>1</v>
      </c>
      <c r="Q25" s="3">
        <v>0</v>
      </c>
      <c r="R25" s="3">
        <v>1</v>
      </c>
      <c r="S25" s="3">
        <v>0</v>
      </c>
      <c r="T25" s="3">
        <v>1</v>
      </c>
      <c r="U25" s="3">
        <v>1</v>
      </c>
      <c r="V25" s="3">
        <v>16401</v>
      </c>
    </row>
    <row r="26" spans="1:22">
      <c r="A26" s="2" t="s">
        <v>46</v>
      </c>
      <c r="B26" s="2">
        <v>-350</v>
      </c>
      <c r="C26" s="3">
        <v>1</v>
      </c>
      <c r="D26" s="3">
        <v>0</v>
      </c>
      <c r="E26" s="3">
        <v>1</v>
      </c>
      <c r="F26" s="3">
        <v>0</v>
      </c>
      <c r="G26" s="3">
        <v>1</v>
      </c>
      <c r="H26" s="3">
        <v>1</v>
      </c>
      <c r="I26" s="3">
        <v>0</v>
      </c>
      <c r="J26" s="3">
        <v>0</v>
      </c>
      <c r="K26" s="3">
        <v>1</v>
      </c>
      <c r="L26" s="3">
        <v>0</v>
      </c>
      <c r="M26" s="3">
        <v>1</v>
      </c>
      <c r="N26" s="3">
        <v>0</v>
      </c>
      <c r="O26" s="3">
        <v>1</v>
      </c>
      <c r="P26" s="3">
        <v>1</v>
      </c>
      <c r="Q26" s="3">
        <v>0</v>
      </c>
      <c r="R26" s="3">
        <v>0</v>
      </c>
      <c r="S26" s="3">
        <v>0</v>
      </c>
      <c r="T26" s="3">
        <v>0</v>
      </c>
      <c r="U26" s="3">
        <v>1</v>
      </c>
      <c r="V26" s="3">
        <v>15901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P11"/>
  <sheetViews>
    <sheetView zoomScale="220" zoomScaleNormal="220" workbookViewId="0">
      <selection activeCell="C4" sqref="C4"/>
    </sheetView>
  </sheetViews>
  <sheetFormatPr defaultColWidth="9" defaultRowHeight="13.5"/>
  <cols>
    <col min="1" max="5" width="9" style="10"/>
    <col min="6" max="8" width="9.375" style="10"/>
    <col min="9" max="9" width="9" style="10"/>
    <col min="10" max="12" width="9.375" style="10"/>
    <col min="13" max="13" width="13.75" style="10"/>
    <col min="14" max="16" width="9.375" style="10"/>
    <col min="17" max="16384" width="9" style="10"/>
  </cols>
  <sheetData>
    <row r="2" spans="3:4">
      <c r="C2" s="10" t="s">
        <v>47</v>
      </c>
      <c r="D2" s="10" t="s">
        <v>48</v>
      </c>
    </row>
    <row r="3" spans="6:10">
      <c r="F3" s="10">
        <v>276</v>
      </c>
      <c r="G3" s="10">
        <v>268</v>
      </c>
      <c r="H3" s="10">
        <v>228</v>
      </c>
      <c r="I3" s="10">
        <v>248</v>
      </c>
      <c r="J3" s="10">
        <v>228</v>
      </c>
    </row>
    <row r="4" spans="2:10">
      <c r="B4" s="10" t="s">
        <v>49</v>
      </c>
      <c r="C4" s="10">
        <f>SUM(F4:J4)</f>
        <v>0.84</v>
      </c>
      <c r="D4" s="10">
        <f>(8*50+150+150)*C4/25</f>
        <v>23.52</v>
      </c>
      <c r="F4" s="10">
        <f>1-F3/300</f>
        <v>0.08</v>
      </c>
      <c r="G4" s="10">
        <f>1-G3/300</f>
        <v>0.106666666666667</v>
      </c>
      <c r="H4" s="10">
        <f>1-H3/300</f>
        <v>0.24</v>
      </c>
      <c r="I4" s="10">
        <f>1-I3/300</f>
        <v>0.173333333333333</v>
      </c>
      <c r="J4" s="10">
        <f>1-J3/300</f>
        <v>0.24</v>
      </c>
    </row>
    <row r="5" spans="6:16">
      <c r="F5" s="10">
        <v>1744</v>
      </c>
      <c r="G5" s="10">
        <v>3204</v>
      </c>
      <c r="H5" s="10">
        <v>2872</v>
      </c>
      <c r="I5" s="10">
        <v>544</v>
      </c>
      <c r="J5" s="10">
        <v>3412</v>
      </c>
      <c r="K5" s="10">
        <v>3032</v>
      </c>
      <c r="L5" s="10">
        <v>3728</v>
      </c>
      <c r="M5" s="10">
        <v>3812</v>
      </c>
      <c r="N5" s="10">
        <v>3400</v>
      </c>
      <c r="O5" s="10">
        <v>3572</v>
      </c>
      <c r="P5" s="10">
        <v>3760</v>
      </c>
    </row>
    <row r="6" spans="2:16">
      <c r="B6" s="10" t="s">
        <v>50</v>
      </c>
      <c r="C6" s="10">
        <f>SUM(F6:P6)</f>
        <v>2.73</v>
      </c>
      <c r="D6" s="10">
        <f>125*(C6)/25</f>
        <v>13.65</v>
      </c>
      <c r="F6" s="10">
        <f>1-F5/4000</f>
        <v>0.564</v>
      </c>
      <c r="G6" s="10">
        <f t="shared" ref="G6:P6" si="0">1-G5/4000</f>
        <v>0.199</v>
      </c>
      <c r="H6" s="10">
        <f t="shared" si="0"/>
        <v>0.282</v>
      </c>
      <c r="I6" s="10">
        <f t="shared" si="0"/>
        <v>0.864</v>
      </c>
      <c r="J6" s="10">
        <f t="shared" si="0"/>
        <v>0.147</v>
      </c>
      <c r="K6" s="10">
        <f t="shared" si="0"/>
        <v>0.242</v>
      </c>
      <c r="L6" s="10">
        <f t="shared" si="0"/>
        <v>0.0679999999999999</v>
      </c>
      <c r="M6" s="10">
        <f t="shared" si="0"/>
        <v>0.047</v>
      </c>
      <c r="N6" s="10">
        <f t="shared" si="0"/>
        <v>0.15</v>
      </c>
      <c r="O6" s="10">
        <f t="shared" si="0"/>
        <v>0.107</v>
      </c>
      <c r="P6" s="10">
        <f t="shared" si="0"/>
        <v>0.0600000000000001</v>
      </c>
    </row>
    <row r="7" spans="2:4">
      <c r="B7" s="10" t="s">
        <v>51</v>
      </c>
      <c r="D7" s="10">
        <f>SUM(D4:D6)</f>
        <v>37.17</v>
      </c>
    </row>
    <row r="8" spans="1:10">
      <c r="A8" s="11"/>
      <c r="F8" s="10">
        <v>1744</v>
      </c>
      <c r="G8" s="10">
        <v>3204</v>
      </c>
      <c r="H8" s="10">
        <v>2872</v>
      </c>
      <c r="I8" s="10">
        <v>544</v>
      </c>
      <c r="J8" s="10">
        <v>3412</v>
      </c>
    </row>
    <row r="9" spans="1:10">
      <c r="A9" s="11" t="s">
        <v>52</v>
      </c>
      <c r="B9" s="10" t="s">
        <v>53</v>
      </c>
      <c r="C9" s="10">
        <f>SUM(F9:J9)</f>
        <v>2.056</v>
      </c>
      <c r="D9" s="10">
        <f>125*(C9)/25</f>
        <v>10.28</v>
      </c>
      <c r="F9" s="10">
        <f t="shared" ref="F9:J9" si="1">1-F8/4000</f>
        <v>0.564</v>
      </c>
      <c r="G9" s="10">
        <f t="shared" si="1"/>
        <v>0.199</v>
      </c>
      <c r="H9" s="10">
        <f t="shared" si="1"/>
        <v>0.282</v>
      </c>
      <c r="I9" s="10">
        <f t="shared" si="1"/>
        <v>0.864</v>
      </c>
      <c r="J9" s="10">
        <f t="shared" si="1"/>
        <v>0.147</v>
      </c>
    </row>
    <row r="10" spans="1:4">
      <c r="A10" s="11"/>
      <c r="B10" s="10" t="s">
        <v>54</v>
      </c>
      <c r="D10" s="10">
        <f>125*(C10)/25</f>
        <v>0</v>
      </c>
    </row>
    <row r="11" spans="1:4">
      <c r="A11" s="11"/>
      <c r="B11" s="10" t="s">
        <v>55</v>
      </c>
      <c r="D11" s="10">
        <f>125*(C11)/25</f>
        <v>0</v>
      </c>
    </row>
  </sheetData>
  <mergeCells count="1">
    <mergeCell ref="A9:A1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zoomScale="190" zoomScaleNormal="190" workbookViewId="0">
      <selection activeCell="C2" sqref="C2"/>
    </sheetView>
  </sheetViews>
  <sheetFormatPr defaultColWidth="9" defaultRowHeight="13.5" outlineLevelRow="6" outlineLevelCol="2"/>
  <cols>
    <col min="1" max="1" width="10.375" style="6"/>
    <col min="2" max="2" width="13.75" style="6"/>
    <col min="3" max="3" width="11.9083333333333" style="6" customWidth="1"/>
    <col min="4" max="4" width="10.375" style="6"/>
    <col min="5" max="6" width="9.375" style="6"/>
    <col min="7" max="7" width="11.5" style="6"/>
    <col min="8" max="16384" width="9" style="6"/>
  </cols>
  <sheetData>
    <row r="1" ht="15.75" spans="1:3">
      <c r="A1" s="7" t="s">
        <v>1</v>
      </c>
      <c r="B1" s="7">
        <v>0</v>
      </c>
      <c r="C1" s="6">
        <v>37.17</v>
      </c>
    </row>
    <row r="2" ht="15.75" spans="1:2">
      <c r="A2" s="8" t="s">
        <v>7</v>
      </c>
      <c r="B2" s="9">
        <v>744.728295</v>
      </c>
    </row>
    <row r="3" ht="15.75" spans="1:2">
      <c r="A3" s="8" t="s">
        <v>8</v>
      </c>
      <c r="B3" s="9">
        <v>492.301845</v>
      </c>
    </row>
    <row r="4" ht="15.75" spans="1:2">
      <c r="A4" s="8" t="s">
        <v>10</v>
      </c>
      <c r="B4" s="9">
        <v>470.534577</v>
      </c>
    </row>
    <row r="5" ht="15.75" spans="1:2">
      <c r="A5" s="8" t="s">
        <v>13</v>
      </c>
      <c r="B5" s="9">
        <v>1159.612185</v>
      </c>
    </row>
    <row r="6" ht="15.75" spans="1:2">
      <c r="A6" s="8" t="s">
        <v>14</v>
      </c>
      <c r="B6" s="9">
        <v>563.714017</v>
      </c>
    </row>
    <row r="7" ht="15.75" spans="1:2">
      <c r="A7" s="8" t="s">
        <v>21</v>
      </c>
      <c r="B7" s="9">
        <v>-1079.057199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7"/>
  <sheetViews>
    <sheetView tabSelected="1" zoomScale="160" zoomScaleNormal="160" workbookViewId="0">
      <selection activeCell="C17" sqref="C17"/>
    </sheetView>
  </sheetViews>
  <sheetFormatPr defaultColWidth="9" defaultRowHeight="13.5"/>
  <cols>
    <col min="1" max="3" width="9" style="5"/>
    <col min="4" max="5" width="11.7333333333333" style="5" customWidth="1"/>
    <col min="6" max="6" width="9" style="5"/>
    <col min="7" max="7" width="9" style="5" customWidth="1"/>
    <col min="8" max="9" width="12.625" style="5"/>
    <col min="10" max="16384" width="9" style="5"/>
  </cols>
  <sheetData>
    <row r="1" spans="2:7">
      <c r="B1" s="5" t="s">
        <v>56</v>
      </c>
      <c r="C1" s="5" t="b">
        <v>1</v>
      </c>
      <c r="D1" s="5" t="s">
        <v>57</v>
      </c>
      <c r="E1" s="5" t="s">
        <v>57</v>
      </c>
      <c r="F1" s="5" t="s">
        <v>58</v>
      </c>
      <c r="G1" s="5" t="s">
        <v>58</v>
      </c>
    </row>
    <row r="2" spans="3:9">
      <c r="C2" s="5">
        <v>8000</v>
      </c>
      <c r="D2" s="5">
        <v>8000</v>
      </c>
      <c r="E2" s="5">
        <v>8000</v>
      </c>
      <c r="F2" s="5">
        <v>8000</v>
      </c>
      <c r="G2" s="5">
        <v>8000</v>
      </c>
      <c r="H2" s="5" t="s">
        <v>57</v>
      </c>
      <c r="I2" s="5" t="s">
        <v>58</v>
      </c>
    </row>
    <row r="3" spans="1:9">
      <c r="A3" s="5" t="s">
        <v>22</v>
      </c>
      <c r="B3" s="2">
        <v>175</v>
      </c>
      <c r="C3" s="5">
        <f>C2+B3-37.17</f>
        <v>8137.83</v>
      </c>
      <c r="E3" s="5">
        <v>7887</v>
      </c>
      <c r="F3" s="5">
        <v>7913</v>
      </c>
      <c r="G3" s="5">
        <v>7913</v>
      </c>
      <c r="H3" s="5" t="e">
        <f>RSQ(C3:C27,D3:D27)</f>
        <v>#DIV/0!</v>
      </c>
      <c r="I3" s="5">
        <f>RSQ(C3:C27,F3:F27)</f>
        <v>0.97088803750024</v>
      </c>
    </row>
    <row r="4" spans="1:7">
      <c r="A4" s="5" t="s">
        <v>23</v>
      </c>
      <c r="B4" s="2">
        <v>-325</v>
      </c>
      <c r="C4" s="5">
        <f t="shared" ref="C4:C27" si="0">C3+B4-37.17</f>
        <v>7775.66</v>
      </c>
      <c r="E4" s="5">
        <v>7495</v>
      </c>
      <c r="F4" s="5">
        <v>7631</v>
      </c>
      <c r="G4" s="5">
        <v>7631</v>
      </c>
    </row>
    <row r="5" spans="1:7">
      <c r="A5" s="5" t="s">
        <v>24</v>
      </c>
      <c r="B5" s="2">
        <v>-975</v>
      </c>
      <c r="C5" s="5">
        <f t="shared" si="0"/>
        <v>6763.49</v>
      </c>
      <c r="E5" s="5">
        <v>6691</v>
      </c>
      <c r="F5" s="5">
        <v>6826</v>
      </c>
      <c r="G5" s="5">
        <v>6826</v>
      </c>
    </row>
    <row r="6" spans="1:7">
      <c r="A6" s="5" t="s">
        <v>25</v>
      </c>
      <c r="B6" s="2">
        <v>-750</v>
      </c>
      <c r="C6" s="5">
        <f t="shared" si="0"/>
        <v>5976.32</v>
      </c>
      <c r="E6" s="5">
        <v>5852</v>
      </c>
      <c r="F6" s="5">
        <v>6019</v>
      </c>
      <c r="G6" s="5">
        <v>6019</v>
      </c>
    </row>
    <row r="7" spans="1:7">
      <c r="A7" s="5" t="s">
        <v>26</v>
      </c>
      <c r="B7" s="2">
        <v>-25</v>
      </c>
      <c r="C7" s="5">
        <f t="shared" si="0"/>
        <v>5914.15</v>
      </c>
      <c r="E7" s="5">
        <v>5663</v>
      </c>
      <c r="F7" s="5">
        <v>5950</v>
      </c>
      <c r="G7" s="5">
        <v>5950</v>
      </c>
    </row>
    <row r="8" spans="1:7">
      <c r="A8" s="5" t="s">
        <v>27</v>
      </c>
      <c r="B8" s="2">
        <v>-475</v>
      </c>
      <c r="C8" s="5">
        <f t="shared" si="0"/>
        <v>5401.98</v>
      </c>
      <c r="E8" s="5">
        <v>5018</v>
      </c>
      <c r="F8" s="5">
        <v>5525</v>
      </c>
      <c r="G8" s="5">
        <v>5525</v>
      </c>
    </row>
    <row r="9" spans="1:7">
      <c r="A9" s="5" t="s">
        <v>28</v>
      </c>
      <c r="B9" s="2">
        <v>575</v>
      </c>
      <c r="C9" s="5">
        <f t="shared" si="0"/>
        <v>5939.81</v>
      </c>
      <c r="E9" s="5">
        <v>5535</v>
      </c>
      <c r="F9" s="5">
        <v>6092</v>
      </c>
      <c r="G9" s="5">
        <v>6092</v>
      </c>
    </row>
    <row r="10" spans="1:7">
      <c r="A10" s="5" t="s">
        <v>29</v>
      </c>
      <c r="B10" s="2">
        <v>-1900</v>
      </c>
      <c r="C10" s="5">
        <f t="shared" si="0"/>
        <v>4002.64</v>
      </c>
      <c r="E10" s="5">
        <v>3915</v>
      </c>
      <c r="F10" s="5">
        <v>4523</v>
      </c>
      <c r="G10" s="5">
        <v>4523</v>
      </c>
    </row>
    <row r="11" spans="1:7">
      <c r="A11" s="5" t="s">
        <v>30</v>
      </c>
      <c r="B11" s="2">
        <v>125</v>
      </c>
      <c r="C11" s="5">
        <f t="shared" si="0"/>
        <v>4090.47</v>
      </c>
      <c r="E11" s="5">
        <v>3966</v>
      </c>
      <c r="F11" s="5">
        <v>4503</v>
      </c>
      <c r="G11" s="5">
        <v>4503</v>
      </c>
    </row>
    <row r="12" spans="1:7">
      <c r="A12" s="5" t="s">
        <v>31</v>
      </c>
      <c r="B12" s="2">
        <v>100</v>
      </c>
      <c r="C12" s="5">
        <f t="shared" si="0"/>
        <v>4153.3</v>
      </c>
      <c r="E12" s="5">
        <v>3902</v>
      </c>
      <c r="F12" s="5">
        <v>4479</v>
      </c>
      <c r="G12" s="5">
        <v>4479</v>
      </c>
    </row>
    <row r="13" spans="1:7">
      <c r="A13" s="5" t="s">
        <v>32</v>
      </c>
      <c r="B13" s="2">
        <v>0</v>
      </c>
      <c r="C13" s="5">
        <f t="shared" si="0"/>
        <v>4116.13</v>
      </c>
      <c r="E13" s="5">
        <v>4097</v>
      </c>
      <c r="F13" s="5">
        <v>4589</v>
      </c>
      <c r="G13" s="5">
        <v>4589</v>
      </c>
    </row>
    <row r="14" spans="1:7">
      <c r="A14" s="5" t="s">
        <v>33</v>
      </c>
      <c r="B14" s="2">
        <v>300</v>
      </c>
      <c r="C14" s="5">
        <f t="shared" si="0"/>
        <v>4378.96</v>
      </c>
      <c r="E14" s="5">
        <v>4183</v>
      </c>
      <c r="F14" s="5">
        <v>4572</v>
      </c>
      <c r="G14" s="5">
        <v>4572</v>
      </c>
    </row>
    <row r="15" spans="1:7">
      <c r="A15" s="5" t="s">
        <v>34</v>
      </c>
      <c r="B15" s="2">
        <v>1000</v>
      </c>
      <c r="C15" s="5">
        <f t="shared" si="0"/>
        <v>5341.79</v>
      </c>
      <c r="E15" s="5">
        <v>5013</v>
      </c>
      <c r="F15" s="5">
        <v>5345</v>
      </c>
      <c r="G15" s="5">
        <v>5345</v>
      </c>
    </row>
    <row r="16" spans="1:7">
      <c r="A16" s="5" t="s">
        <v>35</v>
      </c>
      <c r="B16" s="2">
        <v>175</v>
      </c>
      <c r="C16" s="5">
        <f t="shared" si="0"/>
        <v>5479.62</v>
      </c>
      <c r="E16" s="5">
        <v>5101</v>
      </c>
      <c r="F16" s="5">
        <v>5308</v>
      </c>
      <c r="G16" s="5">
        <v>5308</v>
      </c>
    </row>
    <row r="17" spans="1:7">
      <c r="A17" s="5" t="s">
        <v>36</v>
      </c>
      <c r="B17" s="2">
        <v>950</v>
      </c>
      <c r="C17" s="5">
        <f t="shared" si="0"/>
        <v>6392.45</v>
      </c>
      <c r="E17" s="5">
        <v>5711</v>
      </c>
      <c r="F17" s="5">
        <v>5780</v>
      </c>
      <c r="G17" s="5">
        <v>5780</v>
      </c>
    </row>
    <row r="18" spans="1:7">
      <c r="A18" s="5" t="s">
        <v>37</v>
      </c>
      <c r="B18" s="2">
        <v>-475</v>
      </c>
      <c r="C18" s="5">
        <f t="shared" si="0"/>
        <v>5880.28</v>
      </c>
      <c r="E18" s="5">
        <v>4853</v>
      </c>
      <c r="F18" s="5">
        <v>4902</v>
      </c>
      <c r="G18" s="5">
        <v>4902</v>
      </c>
    </row>
    <row r="19" spans="1:7">
      <c r="A19" s="5" t="s">
        <v>38</v>
      </c>
      <c r="B19" s="2">
        <v>-1475</v>
      </c>
      <c r="C19" s="5">
        <f t="shared" si="0"/>
        <v>4368.11</v>
      </c>
      <c r="E19" s="5">
        <v>3487</v>
      </c>
      <c r="F19" s="5">
        <v>3457</v>
      </c>
      <c r="G19" s="5">
        <v>3457</v>
      </c>
    </row>
    <row r="20" spans="1:7">
      <c r="A20" s="5" t="s">
        <v>39</v>
      </c>
      <c r="B20" s="2">
        <v>-1075</v>
      </c>
      <c r="C20" s="5">
        <f t="shared" si="0"/>
        <v>3255.94</v>
      </c>
      <c r="E20" s="5">
        <v>2629</v>
      </c>
      <c r="F20" s="5">
        <v>2580</v>
      </c>
      <c r="G20" s="5">
        <v>2580</v>
      </c>
    </row>
    <row r="21" spans="1:7">
      <c r="A21" s="5" t="s">
        <v>40</v>
      </c>
      <c r="B21" s="2">
        <v>-1600</v>
      </c>
      <c r="C21" s="5">
        <f t="shared" si="0"/>
        <v>1618.77</v>
      </c>
      <c r="E21" s="5">
        <v>1171</v>
      </c>
      <c r="F21" s="5">
        <v>1230</v>
      </c>
      <c r="G21" s="5">
        <v>1230</v>
      </c>
    </row>
    <row r="22" spans="1:7">
      <c r="A22" s="5" t="s">
        <v>41</v>
      </c>
      <c r="B22" s="2">
        <v>500</v>
      </c>
      <c r="C22" s="5">
        <f t="shared" si="0"/>
        <v>2081.6</v>
      </c>
      <c r="E22" s="5">
        <v>2256</v>
      </c>
      <c r="F22" s="5">
        <v>2127</v>
      </c>
      <c r="G22" s="5">
        <v>2127</v>
      </c>
    </row>
    <row r="23" spans="1:7">
      <c r="A23" s="5" t="s">
        <v>42</v>
      </c>
      <c r="B23" s="2">
        <v>-50</v>
      </c>
      <c r="C23" s="5">
        <f t="shared" si="0"/>
        <v>1994.43</v>
      </c>
      <c r="E23" s="5">
        <v>1940</v>
      </c>
      <c r="F23" s="5">
        <v>1827</v>
      </c>
      <c r="G23" s="5">
        <v>1827</v>
      </c>
    </row>
    <row r="24" spans="1:7">
      <c r="A24" s="5" t="s">
        <v>43</v>
      </c>
      <c r="B24" s="2">
        <v>-975</v>
      </c>
      <c r="C24" s="5">
        <f t="shared" si="0"/>
        <v>982.259999999999</v>
      </c>
      <c r="E24" s="5">
        <v>575</v>
      </c>
      <c r="F24" s="5">
        <v>383</v>
      </c>
      <c r="G24" s="5">
        <v>383</v>
      </c>
    </row>
    <row r="25" spans="1:7">
      <c r="A25" s="5" t="s">
        <v>44</v>
      </c>
      <c r="B25" s="2">
        <v>100</v>
      </c>
      <c r="C25" s="5">
        <f t="shared" si="0"/>
        <v>1045.09</v>
      </c>
      <c r="E25" s="5">
        <v>729</v>
      </c>
      <c r="F25" s="5">
        <v>499</v>
      </c>
      <c r="G25" s="5">
        <v>499</v>
      </c>
    </row>
    <row r="26" spans="1:7">
      <c r="A26" s="5" t="s">
        <v>45</v>
      </c>
      <c r="B26" s="2">
        <v>-800</v>
      </c>
      <c r="C26" s="5">
        <f t="shared" si="0"/>
        <v>207.919999999998</v>
      </c>
      <c r="E26" s="5">
        <v>-6</v>
      </c>
      <c r="F26" s="5">
        <v>-172</v>
      </c>
      <c r="G26" s="5">
        <v>-172</v>
      </c>
    </row>
    <row r="27" spans="1:7">
      <c r="A27" s="5" t="s">
        <v>46</v>
      </c>
      <c r="B27" s="2">
        <v>-350</v>
      </c>
      <c r="C27" s="5">
        <f t="shared" si="0"/>
        <v>-179.250000000002</v>
      </c>
      <c r="E27" s="5">
        <v>-107</v>
      </c>
      <c r="F27" s="5">
        <v>-179</v>
      </c>
      <c r="G27" s="5">
        <v>-179</v>
      </c>
    </row>
  </sheetData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6"/>
  <sheetViews>
    <sheetView zoomScale="85" zoomScaleNormal="85" workbookViewId="0">
      <selection activeCell="L26" sqref="L26"/>
    </sheetView>
  </sheetViews>
  <sheetFormatPr defaultColWidth="9" defaultRowHeight="13.5"/>
  <cols>
    <col min="1" max="1" width="9" style="1"/>
    <col min="2" max="2" width="13.75" style="1"/>
    <col min="3" max="3" width="9" style="1" customWidth="1"/>
    <col min="4" max="13" width="9" style="1"/>
    <col min="14" max="14" width="9.375" style="1"/>
    <col min="15" max="16384" width="9" style="1"/>
  </cols>
  <sheetData>
    <row r="1" s="1" customFormat="1" spans="1:12">
      <c r="A1" s="2"/>
      <c r="B1" s="2" t="s">
        <v>1</v>
      </c>
      <c r="C1" s="2" t="s">
        <v>59</v>
      </c>
      <c r="D1" s="2" t="s">
        <v>60</v>
      </c>
      <c r="E1" s="2" t="s">
        <v>61</v>
      </c>
      <c r="F1" s="2" t="s">
        <v>62</v>
      </c>
      <c r="G1" s="2" t="s">
        <v>63</v>
      </c>
      <c r="H1" s="2" t="s">
        <v>64</v>
      </c>
      <c r="I1" s="2" t="s">
        <v>65</v>
      </c>
      <c r="J1" s="2" t="s">
        <v>21</v>
      </c>
      <c r="L1" s="1">
        <v>8000</v>
      </c>
    </row>
    <row r="2" s="1" customFormat="1" spans="1:14">
      <c r="A2" s="2" t="s">
        <v>22</v>
      </c>
      <c r="B2" s="2">
        <v>175</v>
      </c>
      <c r="C2" s="3">
        <v>1</v>
      </c>
      <c r="D2" s="3">
        <v>1</v>
      </c>
      <c r="E2" s="3">
        <v>0</v>
      </c>
      <c r="F2" s="3">
        <v>1</v>
      </c>
      <c r="G2" s="3">
        <v>0</v>
      </c>
      <c r="H2" s="3">
        <v>0</v>
      </c>
      <c r="I2" s="3">
        <v>1</v>
      </c>
      <c r="J2" s="3">
        <v>14401</v>
      </c>
      <c r="K2" s="4"/>
      <c r="L2" s="1">
        <v>8175</v>
      </c>
      <c r="N2" s="1">
        <f>B2-32.13</f>
        <v>142.87</v>
      </c>
    </row>
    <row r="3" s="1" customFormat="1" spans="1:14">
      <c r="A3" s="2" t="s">
        <v>23</v>
      </c>
      <c r="B3" s="2">
        <v>-325</v>
      </c>
      <c r="C3" s="3">
        <v>1</v>
      </c>
      <c r="D3" s="3">
        <v>0</v>
      </c>
      <c r="E3" s="3">
        <v>1</v>
      </c>
      <c r="F3" s="3">
        <v>0</v>
      </c>
      <c r="G3" s="3">
        <v>1</v>
      </c>
      <c r="H3" s="3">
        <v>1</v>
      </c>
      <c r="I3" s="3">
        <v>0</v>
      </c>
      <c r="J3" s="3">
        <v>13401</v>
      </c>
      <c r="K3" s="4"/>
      <c r="L3" s="1">
        <v>7850</v>
      </c>
      <c r="N3" s="1">
        <f t="shared" ref="N3:N26" si="0">B3-32.13</f>
        <v>-357.13</v>
      </c>
    </row>
    <row r="4" s="1" customFormat="1" spans="1:14">
      <c r="A4" s="2" t="s">
        <v>24</v>
      </c>
      <c r="B4" s="2">
        <v>-975</v>
      </c>
      <c r="C4" s="3">
        <v>1</v>
      </c>
      <c r="D4" s="3">
        <v>1</v>
      </c>
      <c r="E4" s="3">
        <v>1</v>
      </c>
      <c r="F4" s="3">
        <v>1</v>
      </c>
      <c r="G4" s="3">
        <v>0</v>
      </c>
      <c r="H4" s="3">
        <v>0</v>
      </c>
      <c r="I4" s="3">
        <v>1</v>
      </c>
      <c r="J4" s="3">
        <v>14901</v>
      </c>
      <c r="K4" s="4"/>
      <c r="L4" s="1">
        <v>6875</v>
      </c>
      <c r="N4" s="1">
        <f t="shared" si="0"/>
        <v>-1007.13</v>
      </c>
    </row>
    <row r="5" s="1" customFormat="1" spans="1:14">
      <c r="A5" s="2" t="s">
        <v>25</v>
      </c>
      <c r="B5" s="2">
        <v>-750</v>
      </c>
      <c r="C5" s="3">
        <v>1</v>
      </c>
      <c r="D5" s="3">
        <v>1</v>
      </c>
      <c r="E5" s="3">
        <v>0</v>
      </c>
      <c r="F5" s="3">
        <v>1</v>
      </c>
      <c r="G5" s="3">
        <v>0</v>
      </c>
      <c r="H5" s="3">
        <v>1</v>
      </c>
      <c r="I5" s="3">
        <v>0</v>
      </c>
      <c r="J5" s="3">
        <v>12901</v>
      </c>
      <c r="K5" s="4"/>
      <c r="L5" s="1">
        <v>6125</v>
      </c>
      <c r="N5" s="1">
        <f t="shared" si="0"/>
        <v>-782.13</v>
      </c>
    </row>
    <row r="6" s="1" customFormat="1" spans="1:14">
      <c r="A6" s="2" t="s">
        <v>26</v>
      </c>
      <c r="B6" s="2">
        <v>-25</v>
      </c>
      <c r="C6" s="3">
        <v>1</v>
      </c>
      <c r="D6" s="3">
        <v>0</v>
      </c>
      <c r="E6" s="3">
        <v>0</v>
      </c>
      <c r="F6" s="3">
        <v>1</v>
      </c>
      <c r="G6" s="3">
        <v>1</v>
      </c>
      <c r="H6" s="3">
        <v>1</v>
      </c>
      <c r="I6" s="3">
        <v>1</v>
      </c>
      <c r="J6" s="3">
        <v>13901</v>
      </c>
      <c r="K6" s="4"/>
      <c r="L6" s="1">
        <v>6100</v>
      </c>
      <c r="N6" s="1">
        <f t="shared" si="0"/>
        <v>-57.13</v>
      </c>
    </row>
    <row r="7" s="1" customFormat="1" spans="1:14">
      <c r="A7" s="2" t="s">
        <v>27</v>
      </c>
      <c r="B7" s="2">
        <v>-475</v>
      </c>
      <c r="C7" s="3">
        <v>1</v>
      </c>
      <c r="D7" s="3">
        <v>0</v>
      </c>
      <c r="E7" s="3">
        <v>0</v>
      </c>
      <c r="F7" s="3">
        <v>1</v>
      </c>
      <c r="G7" s="3">
        <v>1</v>
      </c>
      <c r="H7" s="3">
        <v>1</v>
      </c>
      <c r="I7" s="3">
        <v>0</v>
      </c>
      <c r="J7" s="3">
        <v>14901</v>
      </c>
      <c r="K7" s="4"/>
      <c r="L7" s="1">
        <v>5625</v>
      </c>
      <c r="N7" s="1">
        <f t="shared" si="0"/>
        <v>-507.13</v>
      </c>
    </row>
    <row r="8" s="1" customFormat="1" spans="1:14">
      <c r="A8" s="2" t="s">
        <v>28</v>
      </c>
      <c r="B8" s="2">
        <v>575</v>
      </c>
      <c r="C8" s="3">
        <v>1</v>
      </c>
      <c r="D8" s="3">
        <v>1</v>
      </c>
      <c r="E8" s="3">
        <v>1</v>
      </c>
      <c r="F8" s="3">
        <v>0</v>
      </c>
      <c r="G8" s="3">
        <v>0</v>
      </c>
      <c r="H8" s="3">
        <v>0</v>
      </c>
      <c r="I8" s="3">
        <v>0</v>
      </c>
      <c r="J8" s="3">
        <v>16401</v>
      </c>
      <c r="K8" s="4"/>
      <c r="L8" s="1">
        <v>6200</v>
      </c>
      <c r="N8" s="1">
        <f t="shared" si="0"/>
        <v>542.87</v>
      </c>
    </row>
    <row r="9" s="1" customFormat="1" spans="1:14">
      <c r="A9" s="2" t="s">
        <v>29</v>
      </c>
      <c r="B9" s="2">
        <v>-1900</v>
      </c>
      <c r="C9" s="3">
        <v>1</v>
      </c>
      <c r="D9" s="3">
        <v>1</v>
      </c>
      <c r="E9" s="3">
        <v>1</v>
      </c>
      <c r="F9" s="3">
        <v>1</v>
      </c>
      <c r="G9" s="3">
        <v>1</v>
      </c>
      <c r="H9" s="3">
        <v>0</v>
      </c>
      <c r="I9" s="3">
        <v>0</v>
      </c>
      <c r="J9" s="3">
        <v>11901</v>
      </c>
      <c r="K9" s="4"/>
      <c r="L9" s="1">
        <v>4300</v>
      </c>
      <c r="N9" s="1">
        <f t="shared" si="0"/>
        <v>-1932.13</v>
      </c>
    </row>
    <row r="10" s="1" customFormat="1" spans="1:14">
      <c r="A10" s="2" t="s">
        <v>30</v>
      </c>
      <c r="B10" s="2">
        <v>125</v>
      </c>
      <c r="C10" s="3">
        <v>1</v>
      </c>
      <c r="D10" s="3">
        <v>1</v>
      </c>
      <c r="E10" s="3">
        <v>0</v>
      </c>
      <c r="F10" s="3">
        <v>0</v>
      </c>
      <c r="G10" s="3">
        <v>0</v>
      </c>
      <c r="H10" s="3">
        <v>0</v>
      </c>
      <c r="I10" s="3">
        <v>1</v>
      </c>
      <c r="J10" s="3">
        <v>10401</v>
      </c>
      <c r="K10" s="4"/>
      <c r="L10" s="1">
        <v>4425</v>
      </c>
      <c r="N10" s="1">
        <f t="shared" si="0"/>
        <v>92.87</v>
      </c>
    </row>
    <row r="11" s="1" customFormat="1" spans="1:14">
      <c r="A11" s="2" t="s">
        <v>31</v>
      </c>
      <c r="B11" s="2">
        <v>100</v>
      </c>
      <c r="C11" s="3">
        <v>1</v>
      </c>
      <c r="D11" s="3">
        <v>0</v>
      </c>
      <c r="E11" s="3">
        <v>1</v>
      </c>
      <c r="F11" s="3">
        <v>1</v>
      </c>
      <c r="G11" s="3">
        <v>0</v>
      </c>
      <c r="H11" s="3">
        <v>1</v>
      </c>
      <c r="I11" s="3">
        <v>1</v>
      </c>
      <c r="J11" s="3">
        <v>17401</v>
      </c>
      <c r="K11" s="4"/>
      <c r="L11" s="1">
        <v>4525</v>
      </c>
      <c r="N11" s="1">
        <f t="shared" si="0"/>
        <v>67.87</v>
      </c>
    </row>
    <row r="12" s="1" customFormat="1" spans="1:14">
      <c r="A12" s="2" t="s">
        <v>32</v>
      </c>
      <c r="B12" s="2">
        <v>0</v>
      </c>
      <c r="C12" s="3">
        <v>1</v>
      </c>
      <c r="D12" s="3">
        <v>0</v>
      </c>
      <c r="E12" s="3">
        <v>0</v>
      </c>
      <c r="F12" s="3">
        <v>1</v>
      </c>
      <c r="G12" s="3">
        <v>0</v>
      </c>
      <c r="H12" s="3">
        <v>1</v>
      </c>
      <c r="I12" s="3">
        <v>1</v>
      </c>
      <c r="J12" s="3">
        <v>12901</v>
      </c>
      <c r="K12" s="4"/>
      <c r="L12" s="1">
        <v>4525</v>
      </c>
      <c r="N12" s="1">
        <f t="shared" si="0"/>
        <v>-32.13</v>
      </c>
    </row>
    <row r="13" s="1" customFormat="1" spans="1:14">
      <c r="A13" s="2" t="s">
        <v>33</v>
      </c>
      <c r="B13" s="2">
        <v>300</v>
      </c>
      <c r="C13" s="3">
        <v>1</v>
      </c>
      <c r="D13" s="3">
        <v>1</v>
      </c>
      <c r="E13" s="3">
        <v>1</v>
      </c>
      <c r="F13" s="3">
        <v>0</v>
      </c>
      <c r="G13" s="3">
        <v>0</v>
      </c>
      <c r="H13" s="3">
        <v>0</v>
      </c>
      <c r="I13" s="3">
        <v>1</v>
      </c>
      <c r="J13" s="3">
        <v>12401</v>
      </c>
      <c r="K13" s="4"/>
      <c r="L13" s="1">
        <v>4825</v>
      </c>
      <c r="N13" s="1">
        <f t="shared" si="0"/>
        <v>267.87</v>
      </c>
    </row>
    <row r="14" s="1" customFormat="1" spans="1:14">
      <c r="A14" s="2" t="s">
        <v>34</v>
      </c>
      <c r="B14" s="2">
        <v>1000</v>
      </c>
      <c r="C14" s="3">
        <v>1</v>
      </c>
      <c r="D14" s="3">
        <v>1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12401</v>
      </c>
      <c r="K14" s="4"/>
      <c r="L14" s="1">
        <v>5825</v>
      </c>
      <c r="N14" s="1">
        <f t="shared" si="0"/>
        <v>967.87</v>
      </c>
    </row>
    <row r="15" s="1" customFormat="1" spans="1:14">
      <c r="A15" s="2" t="s">
        <v>35</v>
      </c>
      <c r="B15" s="2">
        <v>175</v>
      </c>
      <c r="C15" s="3">
        <v>1</v>
      </c>
      <c r="D15" s="3">
        <v>0</v>
      </c>
      <c r="E15" s="3">
        <v>0</v>
      </c>
      <c r="F15" s="3">
        <v>1</v>
      </c>
      <c r="G15" s="3">
        <v>0</v>
      </c>
      <c r="H15" s="3">
        <v>1</v>
      </c>
      <c r="I15" s="3">
        <v>0</v>
      </c>
      <c r="J15" s="3">
        <v>11901</v>
      </c>
      <c r="K15" s="4"/>
      <c r="L15" s="1">
        <v>6000</v>
      </c>
      <c r="N15" s="1">
        <f t="shared" si="0"/>
        <v>142.87</v>
      </c>
    </row>
    <row r="16" s="1" customFormat="1" spans="1:14">
      <c r="A16" s="2" t="s">
        <v>36</v>
      </c>
      <c r="B16" s="2">
        <v>950</v>
      </c>
      <c r="C16" s="3">
        <v>1</v>
      </c>
      <c r="D16" s="3">
        <v>0</v>
      </c>
      <c r="E16" s="3">
        <v>1</v>
      </c>
      <c r="F16" s="3">
        <v>0</v>
      </c>
      <c r="G16" s="3">
        <v>0</v>
      </c>
      <c r="H16" s="3">
        <v>1</v>
      </c>
      <c r="I16" s="3">
        <v>0</v>
      </c>
      <c r="J16" s="3">
        <v>12901</v>
      </c>
      <c r="K16" s="4"/>
      <c r="L16" s="1">
        <v>6950</v>
      </c>
      <c r="N16" s="1">
        <f t="shared" si="0"/>
        <v>917.87</v>
      </c>
    </row>
    <row r="17" s="1" customFormat="1" spans="1:14">
      <c r="A17" s="2" t="s">
        <v>37</v>
      </c>
      <c r="B17" s="2">
        <v>-475</v>
      </c>
      <c r="C17" s="3">
        <v>1</v>
      </c>
      <c r="D17" s="3">
        <v>1</v>
      </c>
      <c r="E17" s="3">
        <v>1</v>
      </c>
      <c r="F17" s="3">
        <v>1</v>
      </c>
      <c r="G17" s="3">
        <v>0</v>
      </c>
      <c r="H17" s="3">
        <v>0</v>
      </c>
      <c r="I17" s="3">
        <v>1</v>
      </c>
      <c r="J17" s="3">
        <v>14401</v>
      </c>
      <c r="K17" s="4"/>
      <c r="L17" s="1">
        <v>6475</v>
      </c>
      <c r="N17" s="1">
        <f t="shared" si="0"/>
        <v>-507.13</v>
      </c>
    </row>
    <row r="18" s="1" customFormat="1" spans="1:14">
      <c r="A18" s="2" t="s">
        <v>38</v>
      </c>
      <c r="B18" s="2">
        <v>-1475</v>
      </c>
      <c r="C18" s="3">
        <v>1</v>
      </c>
      <c r="D18" s="3">
        <v>0</v>
      </c>
      <c r="E18" s="3">
        <v>1</v>
      </c>
      <c r="F18" s="3">
        <v>1</v>
      </c>
      <c r="G18" s="3">
        <v>1</v>
      </c>
      <c r="H18" s="3">
        <v>0</v>
      </c>
      <c r="I18" s="3">
        <v>1</v>
      </c>
      <c r="J18" s="3">
        <v>9901</v>
      </c>
      <c r="K18" s="4"/>
      <c r="L18" s="1">
        <v>5000</v>
      </c>
      <c r="N18" s="1">
        <f t="shared" si="0"/>
        <v>-1507.13</v>
      </c>
    </row>
    <row r="19" s="1" customFormat="1" spans="1:14">
      <c r="A19" s="2" t="s">
        <v>39</v>
      </c>
      <c r="B19" s="2">
        <v>-1075</v>
      </c>
      <c r="C19" s="3">
        <v>1</v>
      </c>
      <c r="D19" s="3">
        <v>1</v>
      </c>
      <c r="E19" s="3">
        <v>1</v>
      </c>
      <c r="F19" s="3">
        <v>1</v>
      </c>
      <c r="G19" s="3">
        <v>0</v>
      </c>
      <c r="H19" s="3">
        <v>1</v>
      </c>
      <c r="I19" s="3">
        <v>1</v>
      </c>
      <c r="J19" s="3">
        <v>14401</v>
      </c>
      <c r="K19" s="4"/>
      <c r="L19" s="1">
        <v>3925</v>
      </c>
      <c r="N19" s="1">
        <f t="shared" si="0"/>
        <v>-1107.13</v>
      </c>
    </row>
    <row r="20" s="1" customFormat="1" spans="1:14">
      <c r="A20" s="2" t="s">
        <v>40</v>
      </c>
      <c r="B20" s="2">
        <v>-1600</v>
      </c>
      <c r="C20" s="3">
        <v>1</v>
      </c>
      <c r="D20" s="3">
        <v>1</v>
      </c>
      <c r="E20" s="3">
        <v>1</v>
      </c>
      <c r="F20" s="3">
        <v>1</v>
      </c>
      <c r="G20" s="3">
        <v>1</v>
      </c>
      <c r="H20" s="3">
        <v>1</v>
      </c>
      <c r="I20" s="3">
        <v>0</v>
      </c>
      <c r="J20" s="3">
        <v>13401</v>
      </c>
      <c r="K20" s="4"/>
      <c r="L20" s="1">
        <v>2325</v>
      </c>
      <c r="N20" s="1">
        <f t="shared" si="0"/>
        <v>-1632.13</v>
      </c>
    </row>
    <row r="21" s="1" customFormat="1" spans="1:14">
      <c r="A21" s="2" t="s">
        <v>41</v>
      </c>
      <c r="B21" s="2">
        <v>500</v>
      </c>
      <c r="C21" s="3">
        <v>1</v>
      </c>
      <c r="D21" s="3">
        <v>0</v>
      </c>
      <c r="E21" s="3">
        <v>0</v>
      </c>
      <c r="F21" s="3">
        <v>0</v>
      </c>
      <c r="G21" s="3">
        <v>0</v>
      </c>
      <c r="H21" s="3">
        <v>1</v>
      </c>
      <c r="I21" s="3">
        <v>1</v>
      </c>
      <c r="J21" s="3">
        <v>10401</v>
      </c>
      <c r="K21" s="4"/>
      <c r="L21" s="1">
        <v>2825</v>
      </c>
      <c r="N21" s="1">
        <f t="shared" si="0"/>
        <v>467.87</v>
      </c>
    </row>
    <row r="22" s="1" customFormat="1" spans="1:14">
      <c r="A22" s="2" t="s">
        <v>42</v>
      </c>
      <c r="B22" s="2">
        <v>-50</v>
      </c>
      <c r="C22" s="3">
        <v>1</v>
      </c>
      <c r="D22" s="3">
        <v>1</v>
      </c>
      <c r="E22" s="3">
        <v>1</v>
      </c>
      <c r="F22" s="3">
        <v>0</v>
      </c>
      <c r="G22" s="3">
        <v>0</v>
      </c>
      <c r="H22" s="3">
        <v>0</v>
      </c>
      <c r="I22" s="3">
        <v>0</v>
      </c>
      <c r="J22" s="3">
        <v>13901</v>
      </c>
      <c r="K22" s="4"/>
      <c r="L22" s="1">
        <v>2775</v>
      </c>
      <c r="N22" s="1">
        <f t="shared" si="0"/>
        <v>-82.13</v>
      </c>
    </row>
    <row r="23" s="1" customFormat="1" spans="1:14">
      <c r="A23" s="2" t="s">
        <v>43</v>
      </c>
      <c r="B23" s="2">
        <v>-975</v>
      </c>
      <c r="C23" s="3">
        <v>1</v>
      </c>
      <c r="D23" s="3">
        <v>0</v>
      </c>
      <c r="E23" s="3">
        <v>1</v>
      </c>
      <c r="F23" s="3">
        <v>1</v>
      </c>
      <c r="G23" s="3">
        <v>1</v>
      </c>
      <c r="H23" s="3">
        <v>0</v>
      </c>
      <c r="I23" s="3">
        <v>0</v>
      </c>
      <c r="J23" s="3">
        <v>9901</v>
      </c>
      <c r="K23" s="4"/>
      <c r="L23" s="1">
        <v>1800</v>
      </c>
      <c r="N23" s="1">
        <f t="shared" si="0"/>
        <v>-1007.13</v>
      </c>
    </row>
    <row r="24" s="1" customFormat="1" spans="1:14">
      <c r="A24" s="2" t="s">
        <v>44</v>
      </c>
      <c r="B24" s="2">
        <v>100</v>
      </c>
      <c r="C24" s="3">
        <v>1</v>
      </c>
      <c r="D24" s="3">
        <v>0</v>
      </c>
      <c r="E24" s="3">
        <v>1</v>
      </c>
      <c r="F24" s="3">
        <v>0</v>
      </c>
      <c r="G24" s="3">
        <v>0</v>
      </c>
      <c r="H24" s="3">
        <v>1</v>
      </c>
      <c r="I24" s="3">
        <v>1</v>
      </c>
      <c r="J24" s="3">
        <v>13901</v>
      </c>
      <c r="K24" s="4"/>
      <c r="L24" s="1">
        <v>1900</v>
      </c>
      <c r="N24" s="1">
        <f t="shared" si="0"/>
        <v>67.87</v>
      </c>
    </row>
    <row r="25" s="1" customFormat="1" spans="1:14">
      <c r="A25" s="2" t="s">
        <v>45</v>
      </c>
      <c r="B25" s="2">
        <v>-800</v>
      </c>
      <c r="C25" s="3">
        <v>1</v>
      </c>
      <c r="D25" s="3">
        <v>0</v>
      </c>
      <c r="E25" s="3">
        <v>1</v>
      </c>
      <c r="F25" s="3">
        <v>1</v>
      </c>
      <c r="G25" s="3">
        <v>0</v>
      </c>
      <c r="H25" s="3">
        <v>1</v>
      </c>
      <c r="I25" s="3">
        <v>1</v>
      </c>
      <c r="J25" s="3">
        <v>16401</v>
      </c>
      <c r="K25" s="4"/>
      <c r="L25" s="1">
        <v>1100</v>
      </c>
      <c r="N25" s="1">
        <f t="shared" si="0"/>
        <v>-832.13</v>
      </c>
    </row>
    <row r="26" s="1" customFormat="1" spans="1:14">
      <c r="A26" s="2" t="s">
        <v>46</v>
      </c>
      <c r="B26" s="2">
        <v>-350</v>
      </c>
      <c r="C26" s="3">
        <v>1</v>
      </c>
      <c r="D26" s="3">
        <v>1</v>
      </c>
      <c r="E26" s="3">
        <v>1</v>
      </c>
      <c r="F26" s="3">
        <v>0</v>
      </c>
      <c r="G26" s="3">
        <v>0</v>
      </c>
      <c r="H26" s="3">
        <v>0</v>
      </c>
      <c r="I26" s="3">
        <v>0</v>
      </c>
      <c r="J26" s="3">
        <v>15901</v>
      </c>
      <c r="K26" s="4"/>
      <c r="L26" s="1">
        <v>775</v>
      </c>
      <c r="N26" s="1">
        <f t="shared" si="0"/>
        <v>-382.13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汇总</vt:lpstr>
      <vt:lpstr>额外阳光消耗</vt:lpstr>
      <vt:lpstr>模型参数</vt:lpstr>
      <vt:lpstr>折线对比1</vt:lpstr>
      <vt:lpstr>截图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乔荔(2022012959)</cp:lastModifiedBy>
  <dcterms:created xsi:type="dcterms:W3CDTF">2025-02-03T01:50:00Z</dcterms:created>
  <dcterms:modified xsi:type="dcterms:W3CDTF">2025-05-03T23:30:38Z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D4A6D8782FF748E1B7A89F134702C9EF_12</vt:lpwstr>
  </property>
  <property fmtid="{D5CDD505-2E9C-101B-9397-08002B2CF9AE}" pid="3" name="KSOProductBuildVer">
    <vt:lpwstr>2052-11.1.0.14036</vt:lpwstr>
  </property>
</Properties>
</file>