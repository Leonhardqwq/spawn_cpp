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20" windowHeight="10560" activeTab="4"/>
  </bookViews>
  <sheets>
    <sheet name="汇总" sheetId="4" r:id="rId1"/>
    <sheet name="破阵率" sheetId="8" r:id="rId2"/>
    <sheet name="折线对比" sheetId="7" r:id="rId3"/>
    <sheet name="矿工阳光消耗" sheetId="6" r:id="rId4"/>
    <sheet name="模型参数" sheetId="5" r:id="rId5"/>
    <sheet name="连红橄" sheetId="1" r:id="rId6"/>
    <sheet name="连红无橄" sheetId="2" r:id="rId7"/>
    <sheet name="连橄无红" sheetId="3" r:id="rId8"/>
  </sheets>
  <calcPr calcId="144525"/>
</workbook>
</file>

<file path=xl/sharedStrings.xml><?xml version="1.0" encoding="utf-8"?>
<sst xmlns="http://schemas.openxmlformats.org/spreadsheetml/2006/main" count="158" uniqueCount="66">
  <si>
    <t>flag</t>
  </si>
  <si>
    <t>Y</t>
  </si>
  <si>
    <t>路障</t>
  </si>
  <si>
    <t>撑杆</t>
  </si>
  <si>
    <t>铁桶</t>
  </si>
  <si>
    <t>读报</t>
  </si>
  <si>
    <t>铁门</t>
  </si>
  <si>
    <t>橄榄</t>
  </si>
  <si>
    <t>舞王</t>
  </si>
  <si>
    <t>潜水</t>
  </si>
  <si>
    <t>冰车</t>
  </si>
  <si>
    <t>海豚</t>
  </si>
  <si>
    <t>小丑</t>
  </si>
  <si>
    <t>气球</t>
  </si>
  <si>
    <t>矿工</t>
  </si>
  <si>
    <t>跳跳</t>
  </si>
  <si>
    <t>蹦极</t>
  </si>
  <si>
    <t>扶梯</t>
  </si>
  <si>
    <t>投篮</t>
  </si>
  <si>
    <t>白眼</t>
  </si>
  <si>
    <t>红眼</t>
  </si>
  <si>
    <t>权重和</t>
  </si>
  <si>
    <t>2002f</t>
  </si>
  <si>
    <t>2004f</t>
  </si>
  <si>
    <t>2006f</t>
  </si>
  <si>
    <t>2008f</t>
  </si>
  <si>
    <t>2010f</t>
  </si>
  <si>
    <t>2012f</t>
  </si>
  <si>
    <t>2014f</t>
  </si>
  <si>
    <t>2016f</t>
  </si>
  <si>
    <t>2018f</t>
  </si>
  <si>
    <t>2020f</t>
  </si>
  <si>
    <t>2022f</t>
  </si>
  <si>
    <t>2024f</t>
  </si>
  <si>
    <t>2026f</t>
  </si>
  <si>
    <t>2028f</t>
  </si>
  <si>
    <t>2030f</t>
  </si>
  <si>
    <t>2032f</t>
  </si>
  <si>
    <t>百f</t>
  </si>
  <si>
    <t>千f</t>
  </si>
  <si>
    <t>万f</t>
  </si>
  <si>
    <t>红</t>
  </si>
  <si>
    <t>橄</t>
  </si>
  <si>
    <t>三行</t>
  </si>
  <si>
    <t>两行</t>
  </si>
  <si>
    <t>五行</t>
  </si>
  <si>
    <t>舞</t>
  </si>
  <si>
    <t>白</t>
  </si>
  <si>
    <t>实</t>
  </si>
  <si>
    <t>墓碑数</t>
  </si>
  <si>
    <t>墓碑</t>
  </si>
  <si>
    <t>净</t>
  </si>
  <si>
    <t>均</t>
  </si>
  <si>
    <t>2034f</t>
  </si>
  <si>
    <t>2036f</t>
  </si>
  <si>
    <t>2038f</t>
  </si>
  <si>
    <t>2040f</t>
  </si>
  <si>
    <t>2042f</t>
  </si>
  <si>
    <t>2044f</t>
  </si>
  <si>
    <t>2046f</t>
  </si>
  <si>
    <t>2048f</t>
  </si>
  <si>
    <t>补南瓜</t>
  </si>
  <si>
    <t>曾/300</t>
  </si>
  <si>
    <t>喷/300</t>
  </si>
  <si>
    <t>南瓜/4000</t>
  </si>
  <si>
    <t>掌/300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</si>
</sst>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5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9" borderId="1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2" fillId="0" borderId="19" applyNumberFormat="0" applyFill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20" applyNumberFormat="0" applyFill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3" fillId="13" borderId="21" applyNumberFormat="0" applyAlignment="0" applyProtection="0">
      <alignment vertical="center"/>
    </xf>
    <xf numFmtId="0" fontId="14" fillId="13" borderId="17" applyNumberFormat="0" applyAlignment="0" applyProtection="0">
      <alignment vertical="center"/>
    </xf>
    <xf numFmtId="0" fontId="15" fillId="14" borderId="22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4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ont="1" applyFill="1" applyAlignment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连红橄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"TRUE"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折线对比!$F$1:$F$17</c:f>
              <c:numCache>
                <c:formatCode>General</c:formatCode>
                <c:ptCount val="17"/>
                <c:pt idx="0">
                  <c:v>9000</c:v>
                </c:pt>
                <c:pt idx="1">
                  <c:v>7913.77864583333</c:v>
                </c:pt>
                <c:pt idx="2">
                  <c:v>7652.55729166666</c:v>
                </c:pt>
                <c:pt idx="3">
                  <c:v>7091.3359375</c:v>
                </c:pt>
                <c:pt idx="4">
                  <c:v>6355.11458333333</c:v>
                </c:pt>
                <c:pt idx="5">
                  <c:v>5918.89322916666</c:v>
                </c:pt>
                <c:pt idx="6">
                  <c:v>5557.671875</c:v>
                </c:pt>
                <c:pt idx="7">
                  <c:v>4871.45052083333</c:v>
                </c:pt>
                <c:pt idx="8">
                  <c:v>4160.22916666666</c:v>
                </c:pt>
                <c:pt idx="9">
                  <c:v>3674.00781249999</c:v>
                </c:pt>
                <c:pt idx="10">
                  <c:v>3112.78645833333</c:v>
                </c:pt>
                <c:pt idx="11">
                  <c:v>2801.56510416666</c:v>
                </c:pt>
                <c:pt idx="12">
                  <c:v>1890.34374999999</c:v>
                </c:pt>
                <c:pt idx="13">
                  <c:v>1029.12239583333</c:v>
                </c:pt>
                <c:pt idx="14">
                  <c:v>542.90104166666</c:v>
                </c:pt>
                <c:pt idx="15">
                  <c:v>431.679687499993</c:v>
                </c:pt>
                <c:pt idx="16">
                  <c:v>-54.5416666666743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"pred"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折线对比!$G$1:$G$17</c:f>
              <c:numCache>
                <c:formatCode>General</c:formatCode>
                <c:ptCount val="17"/>
                <c:pt idx="0">
                  <c:v>9000</c:v>
                </c:pt>
                <c:pt idx="1">
                  <c:v>8090</c:v>
                </c:pt>
                <c:pt idx="2">
                  <c:v>7570</c:v>
                </c:pt>
                <c:pt idx="3">
                  <c:v>6888</c:v>
                </c:pt>
                <c:pt idx="4">
                  <c:v>6325</c:v>
                </c:pt>
                <c:pt idx="5">
                  <c:v>5843</c:v>
                </c:pt>
                <c:pt idx="6">
                  <c:v>5590</c:v>
                </c:pt>
                <c:pt idx="7">
                  <c:v>4837</c:v>
                </c:pt>
                <c:pt idx="8">
                  <c:v>4355</c:v>
                </c:pt>
                <c:pt idx="9">
                  <c:v>3754</c:v>
                </c:pt>
                <c:pt idx="10">
                  <c:v>3466</c:v>
                </c:pt>
                <c:pt idx="11">
                  <c:v>3204</c:v>
                </c:pt>
                <c:pt idx="12">
                  <c:v>2222</c:v>
                </c:pt>
                <c:pt idx="13">
                  <c:v>1354</c:v>
                </c:pt>
                <c:pt idx="14">
                  <c:v>863</c:v>
                </c:pt>
                <c:pt idx="15">
                  <c:v>576</c:v>
                </c:pt>
                <c:pt idx="16">
                  <c:v>-55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99813233"/>
        <c:axId val="373177081"/>
      </c:lineChart>
      <c:catAx>
        <c:axId val="9981323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73177081"/>
        <c:crosses val="autoZero"/>
        <c:auto val="1"/>
        <c:lblAlgn val="ctr"/>
        <c:lblOffset val="100"/>
        <c:noMultiLvlLbl val="0"/>
      </c:catAx>
      <c:valAx>
        <c:axId val="37317708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981323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连红无橄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"TRUE"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折线对比!$I$17:$I$23</c:f>
              <c:numCache>
                <c:formatCode>General</c:formatCode>
                <c:ptCount val="7"/>
                <c:pt idx="0">
                  <c:v>2000</c:v>
                </c:pt>
                <c:pt idx="1">
                  <c:v>2366</c:v>
                </c:pt>
                <c:pt idx="2">
                  <c:v>2682</c:v>
                </c:pt>
                <c:pt idx="3">
                  <c:v>2848</c:v>
                </c:pt>
                <c:pt idx="4">
                  <c:v>2714</c:v>
                </c:pt>
                <c:pt idx="5">
                  <c:v>3055</c:v>
                </c:pt>
                <c:pt idx="6">
                  <c:v>3446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"pred"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折线对比!$J$17:$J$23</c:f>
              <c:numCache>
                <c:formatCode>General</c:formatCode>
                <c:ptCount val="7"/>
                <c:pt idx="0">
                  <c:v>2000</c:v>
                </c:pt>
                <c:pt idx="1">
                  <c:v>2337</c:v>
                </c:pt>
                <c:pt idx="2">
                  <c:v>2789</c:v>
                </c:pt>
                <c:pt idx="3">
                  <c:v>3041</c:v>
                </c:pt>
                <c:pt idx="4">
                  <c:v>3022</c:v>
                </c:pt>
                <c:pt idx="5">
                  <c:v>3122</c:v>
                </c:pt>
                <c:pt idx="6">
                  <c:v>3446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878757453"/>
        <c:axId val="495685896"/>
      </c:lineChart>
      <c:catAx>
        <c:axId val="87875745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685896"/>
        <c:crosses val="autoZero"/>
        <c:auto val="1"/>
        <c:lblAlgn val="ctr"/>
        <c:lblOffset val="100"/>
        <c:noMultiLvlLbl val="0"/>
      </c:catAx>
      <c:valAx>
        <c:axId val="495685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787574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连橄无红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"TRUE"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折线对比!$F$23:$F$29</c:f>
              <c:numCache>
                <c:formatCode>General</c:formatCode>
                <c:ptCount val="7"/>
                <c:pt idx="0">
                  <c:v>2000</c:v>
                </c:pt>
                <c:pt idx="1">
                  <c:v>2222.72916666667</c:v>
                </c:pt>
                <c:pt idx="2">
                  <c:v>1945.45833333333</c:v>
                </c:pt>
                <c:pt idx="3">
                  <c:v>2743.1875</c:v>
                </c:pt>
                <c:pt idx="4">
                  <c:v>3340.91666666667</c:v>
                </c:pt>
                <c:pt idx="5">
                  <c:v>3788.64583333333</c:v>
                </c:pt>
                <c:pt idx="6">
                  <c:v>4211.375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"pred"</c:f>
              <c:strCache>
                <c:ptCount val="1"/>
                <c:pt idx="0">
                  <c:v>pred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折线对比!$G$23:$G$29</c:f>
              <c:numCache>
                <c:formatCode>General</c:formatCode>
                <c:ptCount val="7"/>
                <c:pt idx="0">
                  <c:v>2000</c:v>
                </c:pt>
                <c:pt idx="1">
                  <c:v>2323</c:v>
                </c:pt>
                <c:pt idx="2">
                  <c:v>2303</c:v>
                </c:pt>
                <c:pt idx="3">
                  <c:v>3051</c:v>
                </c:pt>
                <c:pt idx="4">
                  <c:v>3560</c:v>
                </c:pt>
                <c:pt idx="5">
                  <c:v>3965</c:v>
                </c:pt>
                <c:pt idx="6">
                  <c:v>4211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99003445"/>
        <c:axId val="868365971"/>
      </c:lineChart>
      <c:catAx>
        <c:axId val="59900344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68365971"/>
        <c:crosses val="autoZero"/>
        <c:auto val="1"/>
        <c:lblAlgn val="ctr"/>
        <c:lblOffset val="100"/>
        <c:noMultiLvlLbl val="0"/>
      </c:catAx>
      <c:valAx>
        <c:axId val="8683659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900344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203200</xdr:colOff>
      <xdr:row>18</xdr:row>
      <xdr:rowOff>120650</xdr:rowOff>
    </xdr:from>
    <xdr:to>
      <xdr:col>22</xdr:col>
      <xdr:colOff>107315</xdr:colOff>
      <xdr:row>42</xdr:row>
      <xdr:rowOff>83185</xdr:rowOff>
    </xdr:to>
    <xdr:graphicFrame>
      <xdr:nvGraphicFramePr>
        <xdr:cNvPr id="3" name="图表 2"/>
        <xdr:cNvGraphicFramePr/>
      </xdr:nvGraphicFramePr>
      <xdr:xfrm>
        <a:off x="8794750" y="3225800"/>
        <a:ext cx="6762115" cy="40963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615950</xdr:colOff>
      <xdr:row>25</xdr:row>
      <xdr:rowOff>34925</xdr:rowOff>
    </xdr:from>
    <xdr:to>
      <xdr:col>27</xdr:col>
      <xdr:colOff>501015</xdr:colOff>
      <xdr:row>49</xdr:row>
      <xdr:rowOff>5715</xdr:rowOff>
    </xdr:to>
    <xdr:graphicFrame>
      <xdr:nvGraphicFramePr>
        <xdr:cNvPr id="4" name="图表 3"/>
        <xdr:cNvGraphicFramePr/>
      </xdr:nvGraphicFramePr>
      <xdr:xfrm>
        <a:off x="12636500" y="4349750"/>
        <a:ext cx="6743065" cy="4095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254000</xdr:colOff>
      <xdr:row>16</xdr:row>
      <xdr:rowOff>73025</xdr:rowOff>
    </xdr:from>
    <xdr:to>
      <xdr:col>30</xdr:col>
      <xdr:colOff>139065</xdr:colOff>
      <xdr:row>40</xdr:row>
      <xdr:rowOff>24765</xdr:rowOff>
    </xdr:to>
    <xdr:graphicFrame>
      <xdr:nvGraphicFramePr>
        <xdr:cNvPr id="5" name="图表 4"/>
        <xdr:cNvGraphicFramePr/>
      </xdr:nvGraphicFramePr>
      <xdr:xfrm>
        <a:off x="14331950" y="2825750"/>
        <a:ext cx="6743065" cy="40951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9"/>
  <sheetViews>
    <sheetView workbookViewId="0">
      <selection activeCell="A2" sqref="A2"/>
    </sheetView>
  </sheetViews>
  <sheetFormatPr defaultColWidth="9" defaultRowHeight="13.5"/>
  <cols>
    <col min="2" max="2" width="13.75"/>
  </cols>
  <sheetData>
    <row r="1" spans="1:22">
      <c r="A1" s="4" t="s">
        <v>0</v>
      </c>
      <c r="B1" s="5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  <c r="V1" s="20" t="s">
        <v>21</v>
      </c>
    </row>
    <row r="2" spans="1:22">
      <c r="A2" s="8" t="s">
        <v>22</v>
      </c>
      <c r="B2" s="9">
        <v>1086.22135416667</v>
      </c>
      <c r="C2" s="20">
        <v>1</v>
      </c>
      <c r="D2" s="20">
        <v>0</v>
      </c>
      <c r="E2" s="20">
        <v>0</v>
      </c>
      <c r="F2" s="20">
        <v>1</v>
      </c>
      <c r="G2" s="20">
        <v>0</v>
      </c>
      <c r="H2" s="20">
        <v>1</v>
      </c>
      <c r="I2" s="20">
        <v>1</v>
      </c>
      <c r="J2" s="20">
        <v>0</v>
      </c>
      <c r="K2" s="20">
        <v>0</v>
      </c>
      <c r="L2" s="20">
        <v>0</v>
      </c>
      <c r="M2" s="20">
        <v>0</v>
      </c>
      <c r="N2" s="20">
        <v>0</v>
      </c>
      <c r="O2" s="20">
        <v>1</v>
      </c>
      <c r="P2" s="20">
        <v>0</v>
      </c>
      <c r="Q2" s="20">
        <v>1</v>
      </c>
      <c r="R2" s="20">
        <v>1</v>
      </c>
      <c r="S2" s="20">
        <v>0</v>
      </c>
      <c r="T2" s="20">
        <v>1</v>
      </c>
      <c r="U2" s="20">
        <v>1</v>
      </c>
      <c r="V2" s="20">
        <v>9901</v>
      </c>
    </row>
    <row r="3" spans="1:22">
      <c r="A3" s="12" t="s">
        <v>23</v>
      </c>
      <c r="B3" s="13">
        <v>261.221354166667</v>
      </c>
      <c r="C3" s="20">
        <v>0</v>
      </c>
      <c r="D3" s="20">
        <v>0</v>
      </c>
      <c r="E3" s="20">
        <v>0</v>
      </c>
      <c r="F3" s="20">
        <v>1</v>
      </c>
      <c r="G3" s="20">
        <v>1</v>
      </c>
      <c r="H3" s="20">
        <v>1</v>
      </c>
      <c r="I3" s="20">
        <v>0</v>
      </c>
      <c r="J3" s="20">
        <v>0</v>
      </c>
      <c r="K3" s="20">
        <v>0</v>
      </c>
      <c r="L3" s="20">
        <v>0</v>
      </c>
      <c r="M3" s="20">
        <v>1</v>
      </c>
      <c r="N3" s="20">
        <v>0</v>
      </c>
      <c r="O3" s="20">
        <v>1</v>
      </c>
      <c r="P3" s="20">
        <v>0</v>
      </c>
      <c r="Q3" s="20">
        <v>1</v>
      </c>
      <c r="R3" s="20">
        <v>0</v>
      </c>
      <c r="S3" s="20">
        <v>1</v>
      </c>
      <c r="T3" s="20">
        <v>1</v>
      </c>
      <c r="U3" s="20">
        <v>1</v>
      </c>
      <c r="V3" s="20">
        <v>12901</v>
      </c>
    </row>
    <row r="4" spans="1:22">
      <c r="A4" s="12" t="s">
        <v>24</v>
      </c>
      <c r="B4" s="13">
        <v>561.221354166667</v>
      </c>
      <c r="C4" s="20">
        <v>1</v>
      </c>
      <c r="D4" s="20">
        <v>1</v>
      </c>
      <c r="E4" s="20">
        <v>0</v>
      </c>
      <c r="F4" s="20">
        <v>0</v>
      </c>
      <c r="G4" s="20">
        <v>0</v>
      </c>
      <c r="H4" s="20">
        <v>1</v>
      </c>
      <c r="I4" s="20">
        <v>1</v>
      </c>
      <c r="J4" s="20">
        <v>0</v>
      </c>
      <c r="K4" s="20">
        <v>0</v>
      </c>
      <c r="L4" s="20">
        <v>0</v>
      </c>
      <c r="M4" s="20">
        <v>1</v>
      </c>
      <c r="N4" s="20">
        <v>1</v>
      </c>
      <c r="O4" s="20">
        <v>1</v>
      </c>
      <c r="P4" s="20">
        <v>0</v>
      </c>
      <c r="Q4" s="20">
        <v>0</v>
      </c>
      <c r="R4" s="20">
        <v>0</v>
      </c>
      <c r="S4" s="20">
        <v>0</v>
      </c>
      <c r="T4" s="20">
        <v>1</v>
      </c>
      <c r="U4" s="20">
        <v>1</v>
      </c>
      <c r="V4" s="20">
        <v>12901</v>
      </c>
    </row>
    <row r="5" spans="1:22">
      <c r="A5" s="12" t="s">
        <v>25</v>
      </c>
      <c r="B5" s="13">
        <v>736.221354166667</v>
      </c>
      <c r="C5" s="20">
        <v>0</v>
      </c>
      <c r="D5" s="20">
        <v>1</v>
      </c>
      <c r="E5" s="20">
        <v>1</v>
      </c>
      <c r="F5" s="20">
        <v>1</v>
      </c>
      <c r="G5" s="20">
        <v>0</v>
      </c>
      <c r="H5" s="20">
        <v>1</v>
      </c>
      <c r="I5" s="20">
        <v>1</v>
      </c>
      <c r="J5" s="20">
        <v>0</v>
      </c>
      <c r="K5" s="20">
        <v>0</v>
      </c>
      <c r="L5" s="20">
        <v>0</v>
      </c>
      <c r="M5" s="20">
        <v>0</v>
      </c>
      <c r="N5" s="20">
        <v>1</v>
      </c>
      <c r="O5" s="20">
        <v>1</v>
      </c>
      <c r="P5" s="20">
        <v>0</v>
      </c>
      <c r="Q5" s="20">
        <v>1</v>
      </c>
      <c r="R5" s="20">
        <v>0</v>
      </c>
      <c r="S5" s="20">
        <v>1</v>
      </c>
      <c r="T5" s="20">
        <v>0</v>
      </c>
      <c r="U5" s="20">
        <v>1</v>
      </c>
      <c r="V5" s="20">
        <v>14901</v>
      </c>
    </row>
    <row r="6" spans="1:22">
      <c r="A6" s="12" t="s">
        <v>26</v>
      </c>
      <c r="B6" s="13">
        <v>436.221354166667</v>
      </c>
      <c r="C6" s="20">
        <v>1</v>
      </c>
      <c r="D6" s="20">
        <v>0</v>
      </c>
      <c r="E6" s="20">
        <v>1</v>
      </c>
      <c r="F6" s="20">
        <v>0</v>
      </c>
      <c r="G6" s="20">
        <v>1</v>
      </c>
      <c r="H6" s="20">
        <v>1</v>
      </c>
      <c r="I6" s="20">
        <v>0</v>
      </c>
      <c r="J6" s="20">
        <v>0</v>
      </c>
      <c r="K6" s="20">
        <v>0</v>
      </c>
      <c r="L6" s="20">
        <v>0</v>
      </c>
      <c r="M6" s="20">
        <v>0</v>
      </c>
      <c r="N6" s="20">
        <v>0</v>
      </c>
      <c r="O6" s="20">
        <v>1</v>
      </c>
      <c r="P6" s="20">
        <v>0</v>
      </c>
      <c r="Q6" s="20">
        <v>1</v>
      </c>
      <c r="R6" s="20">
        <v>0</v>
      </c>
      <c r="S6" s="20">
        <v>0</v>
      </c>
      <c r="T6" s="20">
        <v>1</v>
      </c>
      <c r="U6" s="20">
        <v>1</v>
      </c>
      <c r="V6" s="20">
        <v>13401</v>
      </c>
    </row>
    <row r="7" spans="1:22">
      <c r="A7" s="12" t="s">
        <v>27</v>
      </c>
      <c r="B7" s="13">
        <v>361.221354166667</v>
      </c>
      <c r="C7" s="20">
        <v>0</v>
      </c>
      <c r="D7" s="20">
        <v>0</v>
      </c>
      <c r="E7" s="20">
        <v>1</v>
      </c>
      <c r="F7" s="20">
        <v>1</v>
      </c>
      <c r="G7" s="20">
        <v>1</v>
      </c>
      <c r="H7" s="20">
        <v>1</v>
      </c>
      <c r="I7" s="20">
        <v>0</v>
      </c>
      <c r="J7" s="20">
        <v>0</v>
      </c>
      <c r="K7" s="20">
        <v>0</v>
      </c>
      <c r="L7" s="20">
        <v>0</v>
      </c>
      <c r="M7" s="20">
        <v>1</v>
      </c>
      <c r="N7" s="20">
        <v>1</v>
      </c>
      <c r="O7" s="20">
        <v>0</v>
      </c>
      <c r="P7" s="20">
        <v>0</v>
      </c>
      <c r="Q7" s="20">
        <v>0</v>
      </c>
      <c r="R7" s="20">
        <v>1</v>
      </c>
      <c r="S7" s="20">
        <v>0</v>
      </c>
      <c r="T7" s="20">
        <v>1</v>
      </c>
      <c r="U7" s="20">
        <v>1</v>
      </c>
      <c r="V7" s="20">
        <v>16401</v>
      </c>
    </row>
    <row r="8" spans="1:22">
      <c r="A8" s="12" t="s">
        <v>28</v>
      </c>
      <c r="B8" s="13">
        <v>686.221354166667</v>
      </c>
      <c r="C8" s="20">
        <v>1</v>
      </c>
      <c r="D8" s="20">
        <v>0</v>
      </c>
      <c r="E8" s="20">
        <v>0</v>
      </c>
      <c r="F8" s="20">
        <v>0</v>
      </c>
      <c r="G8" s="20">
        <v>1</v>
      </c>
      <c r="H8" s="20">
        <v>1</v>
      </c>
      <c r="I8" s="20">
        <v>1</v>
      </c>
      <c r="J8" s="20">
        <v>0</v>
      </c>
      <c r="K8" s="20">
        <v>0</v>
      </c>
      <c r="L8" s="20">
        <v>0</v>
      </c>
      <c r="M8" s="20">
        <v>0</v>
      </c>
      <c r="N8" s="20">
        <v>0</v>
      </c>
      <c r="O8" s="20">
        <v>0</v>
      </c>
      <c r="P8" s="20">
        <v>1</v>
      </c>
      <c r="Q8" s="20">
        <v>1</v>
      </c>
      <c r="R8" s="20">
        <v>1</v>
      </c>
      <c r="S8" s="20">
        <v>1</v>
      </c>
      <c r="T8" s="20">
        <v>0</v>
      </c>
      <c r="U8" s="20">
        <v>1</v>
      </c>
      <c r="V8" s="20">
        <v>12401</v>
      </c>
    </row>
    <row r="9" spans="1:22">
      <c r="A9" s="12" t="s">
        <v>29</v>
      </c>
      <c r="B9" s="13">
        <v>711.221354166667</v>
      </c>
      <c r="C9" s="20">
        <v>1</v>
      </c>
      <c r="D9" s="20">
        <v>1</v>
      </c>
      <c r="E9" s="20">
        <v>0</v>
      </c>
      <c r="F9" s="20">
        <v>0</v>
      </c>
      <c r="G9" s="20">
        <v>1</v>
      </c>
      <c r="H9" s="20">
        <v>1</v>
      </c>
      <c r="I9" s="20">
        <v>0</v>
      </c>
      <c r="J9" s="20">
        <v>0</v>
      </c>
      <c r="K9" s="20">
        <v>0</v>
      </c>
      <c r="L9" s="20">
        <v>0</v>
      </c>
      <c r="M9" s="20">
        <v>1</v>
      </c>
      <c r="N9" s="20">
        <v>0</v>
      </c>
      <c r="O9" s="20">
        <v>0</v>
      </c>
      <c r="P9" s="20">
        <v>1</v>
      </c>
      <c r="Q9" s="20">
        <v>1</v>
      </c>
      <c r="R9" s="20">
        <v>0</v>
      </c>
      <c r="S9" s="20">
        <v>0</v>
      </c>
      <c r="T9" s="20">
        <v>1</v>
      </c>
      <c r="U9" s="20">
        <v>1</v>
      </c>
      <c r="V9" s="20">
        <v>13401</v>
      </c>
    </row>
    <row r="10" spans="1:22">
      <c r="A10" s="12" t="s">
        <v>30</v>
      </c>
      <c r="B10" s="13">
        <v>486.221354166667</v>
      </c>
      <c r="C10" s="20">
        <v>1</v>
      </c>
      <c r="D10" s="20">
        <v>0</v>
      </c>
      <c r="E10" s="20">
        <v>1</v>
      </c>
      <c r="F10" s="20">
        <v>1</v>
      </c>
      <c r="G10" s="20">
        <v>1</v>
      </c>
      <c r="H10" s="20">
        <v>1</v>
      </c>
      <c r="I10" s="20">
        <v>1</v>
      </c>
      <c r="J10" s="20">
        <v>0</v>
      </c>
      <c r="K10" s="20">
        <v>0</v>
      </c>
      <c r="L10" s="20">
        <v>0</v>
      </c>
      <c r="M10" s="20">
        <v>0</v>
      </c>
      <c r="N10" s="20">
        <v>0</v>
      </c>
      <c r="O10" s="20">
        <v>0</v>
      </c>
      <c r="P10" s="20">
        <v>0</v>
      </c>
      <c r="Q10" s="20">
        <v>1</v>
      </c>
      <c r="R10" s="20">
        <v>0</v>
      </c>
      <c r="S10" s="20">
        <v>1</v>
      </c>
      <c r="T10" s="20">
        <v>0</v>
      </c>
      <c r="U10" s="20">
        <v>1</v>
      </c>
      <c r="V10" s="20">
        <v>14401</v>
      </c>
    </row>
    <row r="11" spans="1:22">
      <c r="A11" s="12" t="s">
        <v>31</v>
      </c>
      <c r="B11" s="13">
        <v>561.221354166667</v>
      </c>
      <c r="C11" s="20">
        <v>1</v>
      </c>
      <c r="D11" s="20">
        <v>1</v>
      </c>
      <c r="E11" s="20">
        <v>1</v>
      </c>
      <c r="F11" s="20">
        <v>0</v>
      </c>
      <c r="G11" s="20">
        <v>1</v>
      </c>
      <c r="H11" s="20">
        <v>1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  <c r="N11" s="20">
        <v>0</v>
      </c>
      <c r="O11" s="20">
        <v>1</v>
      </c>
      <c r="P11" s="20">
        <v>0</v>
      </c>
      <c r="Q11" s="20">
        <v>1</v>
      </c>
      <c r="R11" s="20">
        <v>1</v>
      </c>
      <c r="S11" s="20">
        <v>1</v>
      </c>
      <c r="T11" s="20">
        <v>0</v>
      </c>
      <c r="U11" s="20">
        <v>1</v>
      </c>
      <c r="V11" s="20">
        <v>16401</v>
      </c>
    </row>
    <row r="12" spans="1:22">
      <c r="A12" s="12" t="s">
        <v>32</v>
      </c>
      <c r="B12" s="13">
        <v>311.221354166667</v>
      </c>
      <c r="C12" s="20">
        <v>1</v>
      </c>
      <c r="D12" s="20">
        <v>1</v>
      </c>
      <c r="E12" s="20">
        <v>1</v>
      </c>
      <c r="F12" s="20">
        <v>0</v>
      </c>
      <c r="G12" s="20">
        <v>1</v>
      </c>
      <c r="H12" s="20">
        <v>1</v>
      </c>
      <c r="I12" s="20">
        <v>1</v>
      </c>
      <c r="J12" s="20">
        <v>0</v>
      </c>
      <c r="K12" s="20">
        <v>0</v>
      </c>
      <c r="L12" s="20">
        <v>0</v>
      </c>
      <c r="M12" s="20">
        <v>0</v>
      </c>
      <c r="N12" s="20">
        <v>1</v>
      </c>
      <c r="O12" s="20">
        <v>0</v>
      </c>
      <c r="P12" s="20">
        <v>1</v>
      </c>
      <c r="Q12" s="20">
        <v>0</v>
      </c>
      <c r="R12" s="20">
        <v>0</v>
      </c>
      <c r="S12" s="20">
        <v>0</v>
      </c>
      <c r="T12" s="20">
        <v>1</v>
      </c>
      <c r="U12" s="20">
        <v>1</v>
      </c>
      <c r="V12" s="20">
        <v>18401</v>
      </c>
    </row>
    <row r="13" spans="1:22">
      <c r="A13" s="12" t="s">
        <v>33</v>
      </c>
      <c r="B13" s="13">
        <v>911.221354166667</v>
      </c>
      <c r="C13" s="20">
        <v>1</v>
      </c>
      <c r="D13" s="20">
        <v>0</v>
      </c>
      <c r="E13" s="20">
        <v>0</v>
      </c>
      <c r="F13" s="20">
        <v>1</v>
      </c>
      <c r="G13" s="20">
        <v>0</v>
      </c>
      <c r="H13" s="20">
        <v>1</v>
      </c>
      <c r="I13" s="20">
        <v>1</v>
      </c>
      <c r="J13" s="20">
        <v>0</v>
      </c>
      <c r="K13" s="20">
        <v>0</v>
      </c>
      <c r="L13" s="20">
        <v>0</v>
      </c>
      <c r="M13" s="20">
        <v>1</v>
      </c>
      <c r="N13" s="20">
        <v>0</v>
      </c>
      <c r="O13" s="20">
        <v>0</v>
      </c>
      <c r="P13" s="20">
        <v>1</v>
      </c>
      <c r="Q13" s="20">
        <v>0</v>
      </c>
      <c r="R13" s="20">
        <v>1</v>
      </c>
      <c r="S13" s="20">
        <v>0</v>
      </c>
      <c r="T13" s="20">
        <v>0</v>
      </c>
      <c r="U13" s="20">
        <v>1</v>
      </c>
      <c r="V13" s="20">
        <v>9401</v>
      </c>
    </row>
    <row r="14" spans="1:22">
      <c r="A14" s="12" t="s">
        <v>34</v>
      </c>
      <c r="B14" s="13">
        <v>861.221354166667</v>
      </c>
      <c r="C14" s="20">
        <v>1</v>
      </c>
      <c r="D14" s="20">
        <v>0</v>
      </c>
      <c r="E14" s="20">
        <v>0</v>
      </c>
      <c r="F14" s="20">
        <v>0</v>
      </c>
      <c r="G14" s="20">
        <v>0</v>
      </c>
      <c r="H14" s="20">
        <v>1</v>
      </c>
      <c r="I14" s="20">
        <v>1</v>
      </c>
      <c r="J14" s="20">
        <v>0</v>
      </c>
      <c r="K14" s="20">
        <v>0</v>
      </c>
      <c r="L14" s="20">
        <v>0</v>
      </c>
      <c r="M14" s="20">
        <v>1</v>
      </c>
      <c r="N14" s="20">
        <v>1</v>
      </c>
      <c r="O14" s="20">
        <v>1</v>
      </c>
      <c r="P14" s="20">
        <v>0</v>
      </c>
      <c r="Q14" s="20">
        <v>1</v>
      </c>
      <c r="R14" s="20">
        <v>0</v>
      </c>
      <c r="S14" s="20">
        <v>1</v>
      </c>
      <c r="T14" s="20">
        <v>0</v>
      </c>
      <c r="U14" s="20">
        <v>1</v>
      </c>
      <c r="V14" s="20">
        <v>10901</v>
      </c>
    </row>
    <row r="15" spans="1:22">
      <c r="A15" s="12" t="s">
        <v>35</v>
      </c>
      <c r="B15" s="13">
        <v>486.221354166667</v>
      </c>
      <c r="C15" s="20">
        <v>1</v>
      </c>
      <c r="D15" s="20">
        <v>0</v>
      </c>
      <c r="E15" s="20">
        <v>1</v>
      </c>
      <c r="F15" s="20">
        <v>1</v>
      </c>
      <c r="G15" s="20">
        <v>1</v>
      </c>
      <c r="H15" s="20">
        <v>1</v>
      </c>
      <c r="I15" s="20">
        <v>1</v>
      </c>
      <c r="J15" s="20">
        <v>0</v>
      </c>
      <c r="K15" s="20">
        <v>0</v>
      </c>
      <c r="L15" s="20">
        <v>0</v>
      </c>
      <c r="M15" s="20">
        <v>1</v>
      </c>
      <c r="N15" s="20">
        <v>0</v>
      </c>
      <c r="O15" s="20">
        <v>0</v>
      </c>
      <c r="P15" s="20">
        <v>0</v>
      </c>
      <c r="Q15" s="20">
        <v>1</v>
      </c>
      <c r="R15" s="20">
        <v>0</v>
      </c>
      <c r="S15" s="20">
        <v>0</v>
      </c>
      <c r="T15" s="20">
        <v>1</v>
      </c>
      <c r="U15" s="20">
        <v>1</v>
      </c>
      <c r="V15" s="20">
        <v>15401</v>
      </c>
    </row>
    <row r="16" spans="1:22">
      <c r="A16" s="12" t="s">
        <v>36</v>
      </c>
      <c r="B16" s="13">
        <v>111.221354166667</v>
      </c>
      <c r="C16" s="20">
        <v>1</v>
      </c>
      <c r="D16" s="20">
        <v>0</v>
      </c>
      <c r="E16" s="20">
        <v>1</v>
      </c>
      <c r="F16" s="20">
        <v>1</v>
      </c>
      <c r="G16" s="20">
        <v>1</v>
      </c>
      <c r="H16" s="20">
        <v>1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1</v>
      </c>
      <c r="O16" s="20">
        <v>0</v>
      </c>
      <c r="P16" s="20">
        <v>0</v>
      </c>
      <c r="Q16" s="20">
        <v>0</v>
      </c>
      <c r="R16" s="20">
        <v>1</v>
      </c>
      <c r="S16" s="20">
        <v>1</v>
      </c>
      <c r="T16" s="20">
        <v>0</v>
      </c>
      <c r="U16" s="20">
        <v>1</v>
      </c>
      <c r="V16" s="20">
        <v>16401</v>
      </c>
    </row>
    <row r="17" ht="14.25" spans="1:22">
      <c r="A17" s="16" t="s">
        <v>37</v>
      </c>
      <c r="B17" s="17">
        <v>486.221354166667</v>
      </c>
      <c r="C17" s="20">
        <v>1</v>
      </c>
      <c r="D17" s="20">
        <v>0</v>
      </c>
      <c r="E17" s="20">
        <v>1</v>
      </c>
      <c r="F17" s="20">
        <v>1</v>
      </c>
      <c r="G17" s="20">
        <v>0</v>
      </c>
      <c r="H17" s="20">
        <v>1</v>
      </c>
      <c r="I17" s="20">
        <v>0</v>
      </c>
      <c r="J17" s="20">
        <v>0</v>
      </c>
      <c r="K17" s="20">
        <v>0</v>
      </c>
      <c r="L17" s="20">
        <v>0</v>
      </c>
      <c r="M17" s="20">
        <v>1</v>
      </c>
      <c r="N17" s="20">
        <v>0</v>
      </c>
      <c r="O17" s="20">
        <v>1</v>
      </c>
      <c r="P17" s="20">
        <v>0</v>
      </c>
      <c r="Q17" s="20">
        <v>1</v>
      </c>
      <c r="R17" s="20">
        <v>0</v>
      </c>
      <c r="S17" s="20">
        <v>1</v>
      </c>
      <c r="T17" s="20">
        <v>0</v>
      </c>
      <c r="U17" s="20">
        <v>1</v>
      </c>
      <c r="V17" s="20">
        <v>11901</v>
      </c>
    </row>
    <row r="18" spans="1:22">
      <c r="A18" s="8" t="s">
        <v>22</v>
      </c>
      <c r="B18" s="9">
        <v>-366</v>
      </c>
      <c r="C18" s="20">
        <v>1</v>
      </c>
      <c r="D18" s="20">
        <v>0</v>
      </c>
      <c r="E18" s="20">
        <v>1</v>
      </c>
      <c r="F18" s="20">
        <v>1</v>
      </c>
      <c r="G18" s="20">
        <v>1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1</v>
      </c>
      <c r="N18" s="20">
        <v>0</v>
      </c>
      <c r="O18" s="20">
        <v>1</v>
      </c>
      <c r="P18" s="20">
        <v>1</v>
      </c>
      <c r="Q18" s="20">
        <v>1</v>
      </c>
      <c r="R18" s="20">
        <v>0</v>
      </c>
      <c r="S18" s="20">
        <v>0</v>
      </c>
      <c r="T18" s="20">
        <v>0</v>
      </c>
      <c r="U18" s="20">
        <v>1</v>
      </c>
      <c r="V18" s="20">
        <v>12901</v>
      </c>
    </row>
    <row r="19" spans="1:22">
      <c r="A19" s="12" t="s">
        <v>23</v>
      </c>
      <c r="B19" s="13">
        <v>-316</v>
      </c>
      <c r="C19" s="20">
        <v>1</v>
      </c>
      <c r="D19" s="20">
        <v>1</v>
      </c>
      <c r="E19" s="20">
        <v>0</v>
      </c>
      <c r="F19" s="20">
        <v>1</v>
      </c>
      <c r="G19" s="20">
        <v>1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1</v>
      </c>
      <c r="O19" s="20">
        <v>1</v>
      </c>
      <c r="P19" s="20">
        <v>1</v>
      </c>
      <c r="Q19" s="20">
        <v>0</v>
      </c>
      <c r="R19" s="20">
        <v>0</v>
      </c>
      <c r="S19" s="20">
        <v>1</v>
      </c>
      <c r="T19" s="20">
        <v>0</v>
      </c>
      <c r="U19" s="20">
        <v>1</v>
      </c>
      <c r="V19" s="20">
        <v>14401</v>
      </c>
    </row>
    <row r="20" spans="1:22">
      <c r="A20" s="12" t="s">
        <v>24</v>
      </c>
      <c r="B20" s="13">
        <v>-166</v>
      </c>
      <c r="C20" s="20">
        <v>1</v>
      </c>
      <c r="D20" s="20">
        <v>0</v>
      </c>
      <c r="E20" s="20">
        <v>1</v>
      </c>
      <c r="F20" s="20">
        <v>1</v>
      </c>
      <c r="G20" s="20">
        <v>1</v>
      </c>
      <c r="H20" s="20">
        <v>0</v>
      </c>
      <c r="I20" s="20">
        <v>1</v>
      </c>
      <c r="J20" s="20">
        <v>0</v>
      </c>
      <c r="K20" s="20">
        <v>0</v>
      </c>
      <c r="L20" s="20">
        <v>0</v>
      </c>
      <c r="M20" s="20">
        <v>1</v>
      </c>
      <c r="N20" s="20">
        <v>0</v>
      </c>
      <c r="O20" s="20">
        <v>0</v>
      </c>
      <c r="P20" s="20">
        <v>1</v>
      </c>
      <c r="Q20" s="20">
        <v>0</v>
      </c>
      <c r="R20" s="20">
        <v>1</v>
      </c>
      <c r="S20" s="20">
        <v>0</v>
      </c>
      <c r="T20" s="20">
        <v>0</v>
      </c>
      <c r="U20" s="20">
        <v>1</v>
      </c>
      <c r="V20" s="20">
        <v>13901</v>
      </c>
    </row>
    <row r="21" spans="1:22">
      <c r="A21" s="12" t="s">
        <v>25</v>
      </c>
      <c r="B21" s="13">
        <v>134</v>
      </c>
      <c r="C21" s="20">
        <v>1</v>
      </c>
      <c r="D21" s="20">
        <v>1</v>
      </c>
      <c r="E21" s="20">
        <v>0</v>
      </c>
      <c r="F21" s="20">
        <v>0</v>
      </c>
      <c r="G21" s="20">
        <v>0</v>
      </c>
      <c r="H21" s="20">
        <v>0</v>
      </c>
      <c r="I21" s="20">
        <v>1</v>
      </c>
      <c r="J21" s="20">
        <v>0</v>
      </c>
      <c r="K21" s="20">
        <v>0</v>
      </c>
      <c r="L21" s="20">
        <v>0</v>
      </c>
      <c r="M21" s="20">
        <v>1</v>
      </c>
      <c r="N21" s="20">
        <v>1</v>
      </c>
      <c r="O21" s="20">
        <v>0</v>
      </c>
      <c r="P21" s="20">
        <v>0</v>
      </c>
      <c r="Q21" s="20">
        <v>1</v>
      </c>
      <c r="R21" s="20">
        <v>0</v>
      </c>
      <c r="S21" s="20">
        <v>0</v>
      </c>
      <c r="T21" s="20">
        <v>1</v>
      </c>
      <c r="U21" s="20">
        <v>1</v>
      </c>
      <c r="V21" s="20">
        <v>9901</v>
      </c>
    </row>
    <row r="22" spans="1:22">
      <c r="A22" s="12" t="s">
        <v>26</v>
      </c>
      <c r="B22" s="13">
        <v>-341</v>
      </c>
      <c r="C22" s="20">
        <v>1</v>
      </c>
      <c r="D22" s="20">
        <v>0</v>
      </c>
      <c r="E22" s="20">
        <v>1</v>
      </c>
      <c r="F22" s="20">
        <v>0</v>
      </c>
      <c r="G22" s="20">
        <v>0</v>
      </c>
      <c r="H22" s="20">
        <v>0</v>
      </c>
      <c r="I22" s="20">
        <v>1</v>
      </c>
      <c r="J22" s="20">
        <v>0</v>
      </c>
      <c r="K22" s="20">
        <v>0</v>
      </c>
      <c r="L22" s="20">
        <v>0</v>
      </c>
      <c r="M22" s="20">
        <v>0</v>
      </c>
      <c r="N22" s="20">
        <v>1</v>
      </c>
      <c r="O22" s="20">
        <v>1</v>
      </c>
      <c r="P22" s="20">
        <v>1</v>
      </c>
      <c r="Q22" s="20">
        <v>1</v>
      </c>
      <c r="R22" s="20">
        <v>0</v>
      </c>
      <c r="S22" s="20">
        <v>1</v>
      </c>
      <c r="T22" s="20">
        <v>0</v>
      </c>
      <c r="U22" s="20">
        <v>1</v>
      </c>
      <c r="V22" s="20">
        <v>11901</v>
      </c>
    </row>
    <row r="23" ht="14.25" spans="1:22">
      <c r="A23" s="16" t="s">
        <v>27</v>
      </c>
      <c r="B23" s="17">
        <v>-391</v>
      </c>
      <c r="C23" s="20">
        <v>1</v>
      </c>
      <c r="D23" s="20">
        <v>0</v>
      </c>
      <c r="E23" s="20">
        <v>1</v>
      </c>
      <c r="F23" s="20">
        <v>0</v>
      </c>
      <c r="G23" s="20">
        <v>1</v>
      </c>
      <c r="H23" s="20">
        <v>0</v>
      </c>
      <c r="I23" s="20">
        <v>1</v>
      </c>
      <c r="J23" s="20">
        <v>0</v>
      </c>
      <c r="K23" s="20">
        <v>0</v>
      </c>
      <c r="L23" s="20">
        <v>0</v>
      </c>
      <c r="M23" s="20">
        <v>1</v>
      </c>
      <c r="N23" s="20">
        <v>1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1</v>
      </c>
      <c r="U23" s="20">
        <v>1</v>
      </c>
      <c r="V23" s="20">
        <v>14401</v>
      </c>
    </row>
    <row r="24" spans="1:22">
      <c r="A24" s="8" t="s">
        <v>22</v>
      </c>
      <c r="B24" s="9">
        <v>-222.729166666667</v>
      </c>
      <c r="C24" s="20">
        <v>1</v>
      </c>
      <c r="D24" s="20">
        <v>0</v>
      </c>
      <c r="E24" s="20">
        <v>1</v>
      </c>
      <c r="F24" s="20">
        <v>1</v>
      </c>
      <c r="G24" s="20">
        <v>0</v>
      </c>
      <c r="H24" s="20">
        <v>1</v>
      </c>
      <c r="I24" s="20">
        <v>1</v>
      </c>
      <c r="J24" s="20">
        <v>0</v>
      </c>
      <c r="K24" s="20">
        <v>0</v>
      </c>
      <c r="L24" s="20">
        <v>0</v>
      </c>
      <c r="M24" s="20">
        <v>1</v>
      </c>
      <c r="N24" s="20">
        <v>1</v>
      </c>
      <c r="O24" s="20">
        <v>0</v>
      </c>
      <c r="P24" s="20">
        <v>1</v>
      </c>
      <c r="Q24" s="20">
        <v>0</v>
      </c>
      <c r="R24" s="20">
        <v>0</v>
      </c>
      <c r="S24" s="20">
        <v>1</v>
      </c>
      <c r="T24" s="20">
        <v>0</v>
      </c>
      <c r="U24" s="20">
        <v>0</v>
      </c>
      <c r="V24" s="20">
        <v>13901</v>
      </c>
    </row>
    <row r="25" spans="1:22">
      <c r="A25" s="12" t="s">
        <v>23</v>
      </c>
      <c r="B25" s="13">
        <v>277.270833333333</v>
      </c>
      <c r="C25" s="20">
        <v>1</v>
      </c>
      <c r="D25" s="20">
        <v>1</v>
      </c>
      <c r="E25" s="20">
        <v>0</v>
      </c>
      <c r="F25" s="20">
        <v>1</v>
      </c>
      <c r="G25" s="20">
        <v>0</v>
      </c>
      <c r="H25" s="20">
        <v>1</v>
      </c>
      <c r="I25" s="20">
        <v>1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1</v>
      </c>
      <c r="Q25" s="20">
        <v>1</v>
      </c>
      <c r="R25" s="20">
        <v>1</v>
      </c>
      <c r="S25" s="20">
        <v>0</v>
      </c>
      <c r="T25" s="20">
        <v>0</v>
      </c>
      <c r="U25" s="20">
        <v>0</v>
      </c>
      <c r="V25" s="20">
        <v>9401</v>
      </c>
    </row>
    <row r="26" spans="1:22">
      <c r="A26" s="12" t="s">
        <v>24</v>
      </c>
      <c r="B26" s="13">
        <v>-797.729166666667</v>
      </c>
      <c r="C26" s="20">
        <v>1</v>
      </c>
      <c r="D26" s="20">
        <v>0</v>
      </c>
      <c r="E26" s="20">
        <v>1</v>
      </c>
      <c r="F26" s="20">
        <v>1</v>
      </c>
      <c r="G26" s="20">
        <v>1</v>
      </c>
      <c r="H26" s="20">
        <v>1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1</v>
      </c>
      <c r="O26" s="20">
        <v>1</v>
      </c>
      <c r="P26" s="20">
        <v>0</v>
      </c>
      <c r="Q26" s="20">
        <v>0</v>
      </c>
      <c r="R26" s="20">
        <v>0</v>
      </c>
      <c r="S26" s="20">
        <v>1</v>
      </c>
      <c r="T26" s="20">
        <v>1</v>
      </c>
      <c r="U26" s="20">
        <v>0</v>
      </c>
      <c r="V26" s="20">
        <v>16901</v>
      </c>
    </row>
    <row r="27" spans="1:22">
      <c r="A27" s="12" t="s">
        <v>25</v>
      </c>
      <c r="B27" s="13">
        <v>-597.729166666667</v>
      </c>
      <c r="C27" s="20">
        <v>1</v>
      </c>
      <c r="D27" s="20">
        <v>0</v>
      </c>
      <c r="E27" s="20">
        <v>1</v>
      </c>
      <c r="F27" s="20">
        <v>1</v>
      </c>
      <c r="G27" s="20">
        <v>1</v>
      </c>
      <c r="H27" s="20">
        <v>1</v>
      </c>
      <c r="I27" s="20">
        <v>1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1</v>
      </c>
      <c r="Q27" s="20">
        <v>1</v>
      </c>
      <c r="R27" s="20">
        <v>0</v>
      </c>
      <c r="S27" s="20">
        <v>1</v>
      </c>
      <c r="T27" s="20">
        <v>1</v>
      </c>
      <c r="U27" s="20">
        <v>0</v>
      </c>
      <c r="V27" s="20">
        <v>15901</v>
      </c>
    </row>
    <row r="28" spans="1:22">
      <c r="A28" s="12" t="s">
        <v>26</v>
      </c>
      <c r="B28" s="13">
        <v>-447.729166666667</v>
      </c>
      <c r="C28" s="20">
        <v>1</v>
      </c>
      <c r="D28" s="20">
        <v>0</v>
      </c>
      <c r="E28" s="20">
        <v>0</v>
      </c>
      <c r="F28" s="20">
        <v>1</v>
      </c>
      <c r="G28" s="20">
        <v>0</v>
      </c>
      <c r="H28" s="20">
        <v>1</v>
      </c>
      <c r="I28" s="20">
        <v>0</v>
      </c>
      <c r="J28" s="20">
        <v>0</v>
      </c>
      <c r="K28" s="20">
        <v>0</v>
      </c>
      <c r="L28" s="20">
        <v>0</v>
      </c>
      <c r="M28" s="20">
        <v>1</v>
      </c>
      <c r="N28" s="20">
        <v>1</v>
      </c>
      <c r="O28" s="20">
        <v>1</v>
      </c>
      <c r="P28" s="20">
        <v>1</v>
      </c>
      <c r="Q28" s="20">
        <v>1</v>
      </c>
      <c r="R28" s="20">
        <v>0</v>
      </c>
      <c r="S28" s="20">
        <v>1</v>
      </c>
      <c r="T28" s="20">
        <v>1</v>
      </c>
      <c r="U28" s="20">
        <v>0</v>
      </c>
      <c r="V28" s="20">
        <v>12401</v>
      </c>
    </row>
    <row r="29" ht="14.25" spans="1:22">
      <c r="A29" s="16" t="s">
        <v>27</v>
      </c>
      <c r="B29" s="17">
        <v>-422.729166666667</v>
      </c>
      <c r="C29" s="20">
        <v>1</v>
      </c>
      <c r="D29" s="20">
        <v>0</v>
      </c>
      <c r="E29" s="20">
        <v>0</v>
      </c>
      <c r="F29" s="20">
        <v>0</v>
      </c>
      <c r="G29" s="20">
        <v>1</v>
      </c>
      <c r="H29" s="20">
        <v>1</v>
      </c>
      <c r="I29" s="20">
        <v>1</v>
      </c>
      <c r="J29" s="20">
        <v>0</v>
      </c>
      <c r="K29" s="20">
        <v>0</v>
      </c>
      <c r="L29" s="20">
        <v>0</v>
      </c>
      <c r="M29" s="20">
        <v>1</v>
      </c>
      <c r="N29" s="20">
        <v>1</v>
      </c>
      <c r="O29" s="20">
        <v>1</v>
      </c>
      <c r="P29" s="20">
        <v>1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12901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B4"/>
  <sheetViews>
    <sheetView zoomScale="180" zoomScaleNormal="180" workbookViewId="0">
      <selection activeCell="B5" sqref="B5"/>
    </sheetView>
  </sheetViews>
  <sheetFormatPr defaultColWidth="9" defaultRowHeight="13.5" outlineLevelRow="3" outlineLevelCol="1"/>
  <sheetData>
    <row r="2" spans="1:2">
      <c r="A2" t="s">
        <v>38</v>
      </c>
      <c r="B2">
        <v>0.05</v>
      </c>
    </row>
    <row r="3" spans="1:2">
      <c r="A3" t="s">
        <v>39</v>
      </c>
      <c r="B3">
        <v>1.27</v>
      </c>
    </row>
    <row r="4" spans="1:2">
      <c r="A4" t="s">
        <v>40</v>
      </c>
      <c r="B4">
        <v>10.92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9"/>
  <sheetViews>
    <sheetView workbookViewId="0">
      <selection activeCell="N21" sqref="N21"/>
    </sheetView>
  </sheetViews>
  <sheetFormatPr defaultColWidth="9" defaultRowHeight="13.5"/>
  <cols>
    <col min="6" max="6" width="13.75"/>
  </cols>
  <sheetData>
    <row r="1" ht="14.25" spans="1:7">
      <c r="A1" s="4"/>
      <c r="B1" s="5" t="s">
        <v>1</v>
      </c>
      <c r="C1" s="6" t="s">
        <v>41</v>
      </c>
      <c r="D1" s="7" t="s">
        <v>42</v>
      </c>
      <c r="F1">
        <v>9000</v>
      </c>
      <c r="G1">
        <v>9000</v>
      </c>
    </row>
    <row r="2" spans="1:7">
      <c r="A2" s="8" t="s">
        <v>22</v>
      </c>
      <c r="B2" s="9">
        <v>1086.22135416667</v>
      </c>
      <c r="C2" s="10">
        <v>1</v>
      </c>
      <c r="D2" s="11">
        <v>1</v>
      </c>
      <c r="F2">
        <f>F1-B2</f>
        <v>7913.77864583333</v>
      </c>
      <c r="G2">
        <v>8090</v>
      </c>
    </row>
    <row r="3" spans="1:7">
      <c r="A3" s="12" t="s">
        <v>23</v>
      </c>
      <c r="B3" s="13">
        <v>261.221354166667</v>
      </c>
      <c r="C3" s="14">
        <v>1</v>
      </c>
      <c r="D3" s="15">
        <v>1</v>
      </c>
      <c r="F3">
        <f t="shared" ref="F3:F17" si="0">F2-B3</f>
        <v>7652.55729166666</v>
      </c>
      <c r="G3">
        <v>7570</v>
      </c>
    </row>
    <row r="4" spans="1:7">
      <c r="A4" s="12" t="s">
        <v>24</v>
      </c>
      <c r="B4" s="13">
        <v>561.221354166667</v>
      </c>
      <c r="C4" s="14">
        <v>1</v>
      </c>
      <c r="D4" s="15">
        <v>1</v>
      </c>
      <c r="F4">
        <f t="shared" si="0"/>
        <v>7091.3359375</v>
      </c>
      <c r="G4">
        <v>6888</v>
      </c>
    </row>
    <row r="5" spans="1:7">
      <c r="A5" s="12" t="s">
        <v>25</v>
      </c>
      <c r="B5" s="13">
        <v>736.221354166667</v>
      </c>
      <c r="C5" s="14">
        <v>1</v>
      </c>
      <c r="D5" s="15">
        <v>1</v>
      </c>
      <c r="F5">
        <f t="shared" si="0"/>
        <v>6355.11458333333</v>
      </c>
      <c r="G5">
        <v>6325</v>
      </c>
    </row>
    <row r="6" spans="1:7">
      <c r="A6" s="12" t="s">
        <v>26</v>
      </c>
      <c r="B6" s="13">
        <v>436.221354166667</v>
      </c>
      <c r="C6" s="14">
        <v>1</v>
      </c>
      <c r="D6" s="15">
        <v>1</v>
      </c>
      <c r="F6">
        <f t="shared" si="0"/>
        <v>5918.89322916666</v>
      </c>
      <c r="G6">
        <v>5843</v>
      </c>
    </row>
    <row r="7" spans="1:7">
      <c r="A7" s="12" t="s">
        <v>27</v>
      </c>
      <c r="B7" s="13">
        <v>361.221354166667</v>
      </c>
      <c r="C7" s="14">
        <v>1</v>
      </c>
      <c r="D7" s="15">
        <v>1</v>
      </c>
      <c r="F7">
        <f t="shared" si="0"/>
        <v>5557.671875</v>
      </c>
      <c r="G7">
        <v>5590</v>
      </c>
    </row>
    <row r="8" spans="1:7">
      <c r="A8" s="12" t="s">
        <v>28</v>
      </c>
      <c r="B8" s="13">
        <v>686.221354166667</v>
      </c>
      <c r="C8" s="14">
        <v>1</v>
      </c>
      <c r="D8" s="15">
        <v>1</v>
      </c>
      <c r="F8">
        <f t="shared" si="0"/>
        <v>4871.45052083333</v>
      </c>
      <c r="G8">
        <v>4837</v>
      </c>
    </row>
    <row r="9" spans="1:7">
      <c r="A9" s="12" t="s">
        <v>29</v>
      </c>
      <c r="B9" s="13">
        <v>711.221354166667</v>
      </c>
      <c r="C9" s="14">
        <v>1</v>
      </c>
      <c r="D9" s="15">
        <v>1</v>
      </c>
      <c r="F9">
        <f t="shared" si="0"/>
        <v>4160.22916666666</v>
      </c>
      <c r="G9">
        <v>4355</v>
      </c>
    </row>
    <row r="10" spans="1:7">
      <c r="A10" s="12" t="s">
        <v>30</v>
      </c>
      <c r="B10" s="13">
        <v>486.221354166667</v>
      </c>
      <c r="C10" s="14">
        <v>1</v>
      </c>
      <c r="D10" s="15">
        <v>1</v>
      </c>
      <c r="F10">
        <f t="shared" si="0"/>
        <v>3674.00781249999</v>
      </c>
      <c r="G10">
        <v>3754</v>
      </c>
    </row>
    <row r="11" spans="1:7">
      <c r="A11" s="12" t="s">
        <v>31</v>
      </c>
      <c r="B11" s="13">
        <v>561.221354166667</v>
      </c>
      <c r="C11" s="14">
        <v>1</v>
      </c>
      <c r="D11" s="15">
        <v>1</v>
      </c>
      <c r="F11">
        <f t="shared" si="0"/>
        <v>3112.78645833333</v>
      </c>
      <c r="G11">
        <v>3466</v>
      </c>
    </row>
    <row r="12" spans="1:7">
      <c r="A12" s="12" t="s">
        <v>32</v>
      </c>
      <c r="B12" s="13">
        <v>311.221354166667</v>
      </c>
      <c r="C12" s="14">
        <v>1</v>
      </c>
      <c r="D12" s="15">
        <v>1</v>
      </c>
      <c r="F12">
        <f t="shared" si="0"/>
        <v>2801.56510416666</v>
      </c>
      <c r="G12">
        <v>3204</v>
      </c>
    </row>
    <row r="13" spans="1:7">
      <c r="A13" s="12" t="s">
        <v>33</v>
      </c>
      <c r="B13" s="13">
        <v>911.221354166667</v>
      </c>
      <c r="C13" s="14">
        <v>1</v>
      </c>
      <c r="D13" s="15">
        <v>1</v>
      </c>
      <c r="F13">
        <f t="shared" si="0"/>
        <v>1890.34374999999</v>
      </c>
      <c r="G13">
        <v>2222</v>
      </c>
    </row>
    <row r="14" spans="1:7">
      <c r="A14" s="12" t="s">
        <v>34</v>
      </c>
      <c r="B14" s="13">
        <v>861.221354166667</v>
      </c>
      <c r="C14" s="14">
        <v>1</v>
      </c>
      <c r="D14" s="15">
        <v>1</v>
      </c>
      <c r="F14">
        <f t="shared" si="0"/>
        <v>1029.12239583333</v>
      </c>
      <c r="G14">
        <v>1354</v>
      </c>
    </row>
    <row r="15" spans="1:7">
      <c r="A15" s="12" t="s">
        <v>35</v>
      </c>
      <c r="B15" s="13">
        <v>486.221354166667</v>
      </c>
      <c r="C15" s="14">
        <v>1</v>
      </c>
      <c r="D15" s="15">
        <v>1</v>
      </c>
      <c r="F15">
        <f t="shared" si="0"/>
        <v>542.90104166666</v>
      </c>
      <c r="G15">
        <v>863</v>
      </c>
    </row>
    <row r="16" spans="1:7">
      <c r="A16" s="12" t="s">
        <v>36</v>
      </c>
      <c r="B16" s="13">
        <v>111.221354166667</v>
      </c>
      <c r="C16" s="14">
        <v>1</v>
      </c>
      <c r="D16" s="15">
        <v>1</v>
      </c>
      <c r="F16">
        <f t="shared" si="0"/>
        <v>431.679687499993</v>
      </c>
      <c r="G16">
        <v>576</v>
      </c>
    </row>
    <row r="17" ht="14.25" spans="1:10">
      <c r="A17" s="16" t="s">
        <v>37</v>
      </c>
      <c r="B17" s="17">
        <v>486.221354166667</v>
      </c>
      <c r="C17" s="18">
        <v>1</v>
      </c>
      <c r="D17" s="19">
        <v>1</v>
      </c>
      <c r="F17">
        <f t="shared" si="0"/>
        <v>-54.5416666666743</v>
      </c>
      <c r="G17">
        <v>-55</v>
      </c>
      <c r="I17">
        <v>2000</v>
      </c>
      <c r="J17">
        <v>2000</v>
      </c>
    </row>
    <row r="18" spans="1:10">
      <c r="A18" s="8" t="s">
        <v>22</v>
      </c>
      <c r="B18" s="9">
        <v>-366</v>
      </c>
      <c r="C18" s="10">
        <v>1</v>
      </c>
      <c r="D18" s="11">
        <v>0</v>
      </c>
      <c r="I18">
        <f t="shared" ref="I18:I23" si="1">I17-B18</f>
        <v>2366</v>
      </c>
      <c r="J18">
        <v>2337</v>
      </c>
    </row>
    <row r="19" spans="1:10">
      <c r="A19" s="12" t="s">
        <v>23</v>
      </c>
      <c r="B19" s="13">
        <v>-316</v>
      </c>
      <c r="C19" s="14">
        <v>1</v>
      </c>
      <c r="D19" s="15">
        <v>0</v>
      </c>
      <c r="I19">
        <f t="shared" si="1"/>
        <v>2682</v>
      </c>
      <c r="J19">
        <v>2789</v>
      </c>
    </row>
    <row r="20" spans="1:10">
      <c r="A20" s="12" t="s">
        <v>24</v>
      </c>
      <c r="B20" s="13">
        <v>-166</v>
      </c>
      <c r="C20" s="14">
        <v>1</v>
      </c>
      <c r="D20" s="15">
        <v>0</v>
      </c>
      <c r="I20">
        <f t="shared" si="1"/>
        <v>2848</v>
      </c>
      <c r="J20">
        <v>3041</v>
      </c>
    </row>
    <row r="21" spans="1:10">
      <c r="A21" s="12" t="s">
        <v>25</v>
      </c>
      <c r="B21" s="13">
        <v>134</v>
      </c>
      <c r="C21" s="14">
        <v>1</v>
      </c>
      <c r="D21" s="15">
        <v>0</v>
      </c>
      <c r="I21">
        <f t="shared" si="1"/>
        <v>2714</v>
      </c>
      <c r="J21">
        <v>3022</v>
      </c>
    </row>
    <row r="22" spans="1:10">
      <c r="A22" s="12" t="s">
        <v>26</v>
      </c>
      <c r="B22" s="13">
        <v>-341</v>
      </c>
      <c r="C22" s="14">
        <v>1</v>
      </c>
      <c r="D22" s="15">
        <v>0</v>
      </c>
      <c r="I22">
        <f t="shared" si="1"/>
        <v>3055</v>
      </c>
      <c r="J22">
        <v>3122</v>
      </c>
    </row>
    <row r="23" ht="14.25" spans="1:10">
      <c r="A23" s="16" t="s">
        <v>27</v>
      </c>
      <c r="B23" s="17">
        <v>-391</v>
      </c>
      <c r="C23" s="18">
        <v>1</v>
      </c>
      <c r="D23" s="19">
        <v>0</v>
      </c>
      <c r="F23">
        <v>2000</v>
      </c>
      <c r="G23">
        <v>2000</v>
      </c>
      <c r="I23">
        <f t="shared" si="1"/>
        <v>3446</v>
      </c>
      <c r="J23">
        <v>3446</v>
      </c>
    </row>
    <row r="24" spans="1:7">
      <c r="A24" s="8" t="s">
        <v>22</v>
      </c>
      <c r="B24" s="9">
        <v>-222.729166666667</v>
      </c>
      <c r="C24" s="10">
        <v>0</v>
      </c>
      <c r="D24" s="11">
        <v>1</v>
      </c>
      <c r="F24">
        <f t="shared" ref="F24:F29" si="2">F23-B24</f>
        <v>2222.72916666667</v>
      </c>
      <c r="G24">
        <v>2323</v>
      </c>
    </row>
    <row r="25" spans="1:7">
      <c r="A25" s="12" t="s">
        <v>23</v>
      </c>
      <c r="B25" s="13">
        <v>277.270833333333</v>
      </c>
      <c r="C25" s="14">
        <v>0</v>
      </c>
      <c r="D25" s="15">
        <v>1</v>
      </c>
      <c r="F25">
        <f t="shared" si="2"/>
        <v>1945.45833333333</v>
      </c>
      <c r="G25">
        <v>2303</v>
      </c>
    </row>
    <row r="26" spans="1:7">
      <c r="A26" s="12" t="s">
        <v>24</v>
      </c>
      <c r="B26" s="13">
        <v>-797.729166666667</v>
      </c>
      <c r="C26" s="14">
        <v>0</v>
      </c>
      <c r="D26" s="15">
        <v>1</v>
      </c>
      <c r="F26">
        <f t="shared" si="2"/>
        <v>2743.1875</v>
      </c>
      <c r="G26">
        <v>3051</v>
      </c>
    </row>
    <row r="27" spans="1:7">
      <c r="A27" s="12" t="s">
        <v>25</v>
      </c>
      <c r="B27" s="13">
        <v>-597.729166666667</v>
      </c>
      <c r="C27" s="14">
        <v>0</v>
      </c>
      <c r="D27" s="15">
        <v>1</v>
      </c>
      <c r="F27">
        <f t="shared" si="2"/>
        <v>3340.91666666667</v>
      </c>
      <c r="G27">
        <v>3560</v>
      </c>
    </row>
    <row r="28" spans="1:7">
      <c r="A28" s="12" t="s">
        <v>26</v>
      </c>
      <c r="B28" s="13">
        <v>-447.729166666667</v>
      </c>
      <c r="C28" s="14">
        <v>0</v>
      </c>
      <c r="D28" s="15">
        <v>1</v>
      </c>
      <c r="F28">
        <f t="shared" si="2"/>
        <v>3788.64583333333</v>
      </c>
      <c r="G28">
        <v>3965</v>
      </c>
    </row>
    <row r="29" ht="14.25" spans="1:7">
      <c r="A29" s="16" t="s">
        <v>27</v>
      </c>
      <c r="B29" s="17">
        <v>-422.729166666667</v>
      </c>
      <c r="C29" s="18">
        <v>0</v>
      </c>
      <c r="D29" s="19">
        <v>1</v>
      </c>
      <c r="F29">
        <f t="shared" si="2"/>
        <v>4211.375</v>
      </c>
      <c r="G29">
        <v>4211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zoomScale="130" zoomScaleNormal="130" topLeftCell="A5" workbookViewId="0">
      <selection activeCell="B12" sqref="B12"/>
    </sheetView>
  </sheetViews>
  <sheetFormatPr defaultColWidth="9" defaultRowHeight="13.5" outlineLevelCol="2"/>
  <cols>
    <col min="2" max="2" width="12.625"/>
    <col min="5" max="5" width="12.625"/>
  </cols>
  <sheetData>
    <row r="1" spans="1:2">
      <c r="A1" s="2">
        <v>3044</v>
      </c>
      <c r="B1">
        <f>(4000-A1)/4000*125</f>
        <v>29.875</v>
      </c>
    </row>
    <row r="2" spans="1:2">
      <c r="A2" s="2">
        <v>3412</v>
      </c>
      <c r="B2">
        <f t="shared" ref="B2:B9" si="0">(4000-A2)/4000*125</f>
        <v>18.375</v>
      </c>
    </row>
    <row r="3" spans="1:2">
      <c r="A3" s="2">
        <v>1468</v>
      </c>
      <c r="B3">
        <f t="shared" si="0"/>
        <v>79.125</v>
      </c>
    </row>
    <row r="4" spans="1:2">
      <c r="A4" s="2">
        <v>972</v>
      </c>
      <c r="B4">
        <f t="shared" si="0"/>
        <v>94.625</v>
      </c>
    </row>
    <row r="5" spans="1:2">
      <c r="A5" s="2">
        <v>840</v>
      </c>
      <c r="B5">
        <f t="shared" si="0"/>
        <v>98.75</v>
      </c>
    </row>
    <row r="6" spans="1:2">
      <c r="A6" s="2">
        <v>1164</v>
      </c>
      <c r="B6">
        <f t="shared" si="0"/>
        <v>88.625</v>
      </c>
    </row>
    <row r="7" spans="1:2">
      <c r="A7" s="2">
        <v>1348</v>
      </c>
      <c r="B7">
        <f t="shared" si="0"/>
        <v>82.875</v>
      </c>
    </row>
    <row r="8" spans="1:2">
      <c r="A8" s="2">
        <v>768</v>
      </c>
      <c r="B8">
        <f t="shared" si="0"/>
        <v>101</v>
      </c>
    </row>
    <row r="9" spans="1:2">
      <c r="A9" s="2">
        <v>1540</v>
      </c>
      <c r="B9">
        <f t="shared" si="0"/>
        <v>76.875</v>
      </c>
    </row>
    <row r="10" customFormat="1" spans="2:2">
      <c r="B10">
        <f>SUM(B1:B9)</f>
        <v>670.125</v>
      </c>
    </row>
    <row r="11" customFormat="1" spans="2:3">
      <c r="B11">
        <f>5*125+B10</f>
        <v>1295.125</v>
      </c>
      <c r="C11">
        <v>28</v>
      </c>
    </row>
    <row r="12" spans="1:2">
      <c r="A12" t="s">
        <v>43</v>
      </c>
      <c r="B12">
        <f>B11/C11</f>
        <v>46.2544642857143</v>
      </c>
    </row>
    <row r="13" customFormat="1" spans="1:2">
      <c r="A13" t="s">
        <v>44</v>
      </c>
      <c r="B13">
        <f>B12*2/3</f>
        <v>30.8363095238095</v>
      </c>
    </row>
    <row r="14" spans="1:2">
      <c r="A14" t="s">
        <v>45</v>
      </c>
      <c r="B14">
        <f>B12/3*5</f>
        <v>77.0907738095238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A2" sqref="A2"/>
    </sheetView>
  </sheetViews>
  <sheetFormatPr defaultColWidth="9" defaultRowHeight="13.5" outlineLevelRow="6" outlineLevelCol="5"/>
  <cols>
    <col min="1" max="1" width="10.375"/>
    <col min="2" max="2" width="9.375"/>
    <col min="4" max="5" width="9.375"/>
    <col min="6" max="6" width="13.75"/>
  </cols>
  <sheetData>
    <row r="1" spans="1:6">
      <c r="A1" t="s">
        <v>1</v>
      </c>
      <c r="B1" t="s">
        <v>41</v>
      </c>
      <c r="C1" t="s">
        <v>42</v>
      </c>
      <c r="D1" t="s">
        <v>46</v>
      </c>
      <c r="E1" t="s">
        <v>47</v>
      </c>
      <c r="F1" t="s">
        <v>21</v>
      </c>
    </row>
    <row r="2" spans="1:6">
      <c r="A2">
        <v>-315.9977</v>
      </c>
      <c r="B2">
        <v>962.4081</v>
      </c>
      <c r="C2">
        <v>891.36</v>
      </c>
      <c r="D2">
        <v>161.4457</v>
      </c>
      <c r="E2">
        <v>-34.0937</v>
      </c>
      <c r="F2">
        <v>-762.4807</v>
      </c>
    </row>
    <row r="6" spans="6:6">
      <c r="F6">
        <f>F2*18001/10000+A2+E2+C2</f>
        <v>-831.27290807</v>
      </c>
    </row>
    <row r="7" spans="6:6">
      <c r="F7">
        <f>SUM(A2:D2)+7401/10000*F2</f>
        <v>1134.90413393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workbookViewId="0">
      <selection activeCell="H36" sqref="H36"/>
    </sheetView>
  </sheetViews>
  <sheetFormatPr defaultColWidth="9" defaultRowHeight="13.5"/>
  <cols>
    <col min="4" max="5" width="12.625"/>
    <col min="6" max="6" width="12.5" customWidth="1"/>
    <col min="7" max="7" width="12.625"/>
    <col min="9" max="9" width="12.625"/>
    <col min="10" max="10" width="9.375"/>
    <col min="12" max="12" width="13.75"/>
    <col min="13" max="13" width="12.625"/>
    <col min="16380" max="16384" width="9" style="3"/>
  </cols>
  <sheetData>
    <row r="1" customFormat="1" spans="2:8">
      <c r="B1">
        <v>9000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41</v>
      </c>
    </row>
    <row r="2" customFormat="1" spans="1:13">
      <c r="A2" s="1" t="s">
        <v>22</v>
      </c>
      <c r="B2" s="1">
        <v>8025</v>
      </c>
      <c r="C2" s="1">
        <f t="shared" ref="C2:C26" si="0">B1-B2</f>
        <v>975</v>
      </c>
      <c r="D2" s="1">
        <v>0</v>
      </c>
      <c r="E2" s="1">
        <f>D2*75</f>
        <v>0</v>
      </c>
      <c r="F2" s="1">
        <f>C2-E2</f>
        <v>975</v>
      </c>
      <c r="G2" s="1">
        <f>F2+75</f>
        <v>1050</v>
      </c>
      <c r="H2">
        <v>80</v>
      </c>
      <c r="K2">
        <f>G2</f>
        <v>1050</v>
      </c>
      <c r="L2">
        <f>G37</f>
        <v>36.2213541666667</v>
      </c>
      <c r="M2">
        <f>K2+L2</f>
        <v>1086.22135416667</v>
      </c>
    </row>
    <row r="3" customFormat="1" spans="1:13">
      <c r="A3" s="1" t="s">
        <v>23</v>
      </c>
      <c r="B3" s="1">
        <v>7725</v>
      </c>
      <c r="C3" s="1">
        <f t="shared" si="0"/>
        <v>300</v>
      </c>
      <c r="D3" s="1">
        <v>2</v>
      </c>
      <c r="E3" s="1">
        <f t="shared" ref="E3:E26" si="1">D3*75</f>
        <v>150</v>
      </c>
      <c r="F3" s="1">
        <f t="shared" ref="F3:F26" si="2">C3-E3</f>
        <v>150</v>
      </c>
      <c r="G3" s="1">
        <f t="shared" ref="G3:G26" si="3">F3+75</f>
        <v>225</v>
      </c>
      <c r="H3">
        <v>65</v>
      </c>
      <c r="K3">
        <f t="shared" ref="K3:K17" si="4">G3</f>
        <v>225</v>
      </c>
      <c r="L3">
        <f>L2</f>
        <v>36.2213541666667</v>
      </c>
      <c r="M3">
        <f t="shared" ref="M3:M17" si="5">K3+L3</f>
        <v>261.221354166667</v>
      </c>
    </row>
    <row r="4" customFormat="1" spans="1:13">
      <c r="A4" s="1" t="s">
        <v>24</v>
      </c>
      <c r="B4" s="1">
        <v>7275</v>
      </c>
      <c r="C4" s="1">
        <f t="shared" si="0"/>
        <v>450</v>
      </c>
      <c r="D4" s="1">
        <v>0</v>
      </c>
      <c r="E4" s="1">
        <f t="shared" si="1"/>
        <v>0</v>
      </c>
      <c r="F4" s="1">
        <f t="shared" si="2"/>
        <v>450</v>
      </c>
      <c r="G4" s="1">
        <f t="shared" si="3"/>
        <v>525</v>
      </c>
      <c r="H4">
        <v>75</v>
      </c>
      <c r="K4">
        <f t="shared" si="4"/>
        <v>525</v>
      </c>
      <c r="L4">
        <f t="shared" ref="L4:L17" si="6">L3</f>
        <v>36.2213541666667</v>
      </c>
      <c r="M4">
        <f t="shared" si="5"/>
        <v>561.221354166667</v>
      </c>
    </row>
    <row r="5" customFormat="1" spans="1:13">
      <c r="A5" s="1" t="s">
        <v>25</v>
      </c>
      <c r="B5" s="1">
        <v>6650</v>
      </c>
      <c r="C5" s="1">
        <f t="shared" si="0"/>
        <v>625</v>
      </c>
      <c r="D5" s="1">
        <v>0</v>
      </c>
      <c r="E5" s="1">
        <f t="shared" si="1"/>
        <v>0</v>
      </c>
      <c r="F5" s="1">
        <f t="shared" si="2"/>
        <v>625</v>
      </c>
      <c r="G5" s="1">
        <f t="shared" si="3"/>
        <v>700</v>
      </c>
      <c r="H5">
        <v>65</v>
      </c>
      <c r="K5">
        <f t="shared" si="4"/>
        <v>700</v>
      </c>
      <c r="L5">
        <f t="shared" si="6"/>
        <v>36.2213541666667</v>
      </c>
      <c r="M5">
        <f t="shared" si="5"/>
        <v>736.221354166667</v>
      </c>
    </row>
    <row r="6" customFormat="1" spans="1:13">
      <c r="A6" s="1" t="s">
        <v>26</v>
      </c>
      <c r="B6" s="1">
        <v>6100</v>
      </c>
      <c r="C6" s="1">
        <f t="shared" si="0"/>
        <v>550</v>
      </c>
      <c r="D6" s="1">
        <v>3</v>
      </c>
      <c r="E6" s="1">
        <f t="shared" si="1"/>
        <v>225</v>
      </c>
      <c r="F6" s="1">
        <f t="shared" si="2"/>
        <v>325</v>
      </c>
      <c r="G6" s="1">
        <f t="shared" si="3"/>
        <v>400</v>
      </c>
      <c r="H6">
        <v>63</v>
      </c>
      <c r="K6">
        <f t="shared" si="4"/>
        <v>400</v>
      </c>
      <c r="L6">
        <f t="shared" si="6"/>
        <v>36.2213541666667</v>
      </c>
      <c r="M6">
        <f t="shared" si="5"/>
        <v>436.221354166667</v>
      </c>
    </row>
    <row r="7" customFormat="1" spans="1:13">
      <c r="A7" s="1" t="s">
        <v>27</v>
      </c>
      <c r="B7" s="1">
        <v>5850</v>
      </c>
      <c r="C7" s="1">
        <f t="shared" si="0"/>
        <v>250</v>
      </c>
      <c r="D7" s="1">
        <v>0</v>
      </c>
      <c r="E7" s="1">
        <f t="shared" si="1"/>
        <v>0</v>
      </c>
      <c r="F7" s="1">
        <f t="shared" si="2"/>
        <v>250</v>
      </c>
      <c r="G7" s="1">
        <f t="shared" si="3"/>
        <v>325</v>
      </c>
      <c r="H7">
        <v>63</v>
      </c>
      <c r="K7">
        <f t="shared" si="4"/>
        <v>325</v>
      </c>
      <c r="L7">
        <f t="shared" si="6"/>
        <v>36.2213541666667</v>
      </c>
      <c r="M7">
        <f t="shared" si="5"/>
        <v>361.221354166667</v>
      </c>
    </row>
    <row r="8" customFormat="1" spans="1:13">
      <c r="A8" s="1" t="s">
        <v>28</v>
      </c>
      <c r="B8" s="1">
        <v>5125</v>
      </c>
      <c r="C8" s="1">
        <f t="shared" si="0"/>
        <v>725</v>
      </c>
      <c r="D8" s="1">
        <v>2</v>
      </c>
      <c r="E8" s="1">
        <f t="shared" si="1"/>
        <v>150</v>
      </c>
      <c r="F8" s="1">
        <f t="shared" si="2"/>
        <v>575</v>
      </c>
      <c r="G8" s="1">
        <f t="shared" si="3"/>
        <v>650</v>
      </c>
      <c r="H8">
        <v>62</v>
      </c>
      <c r="K8">
        <f t="shared" si="4"/>
        <v>650</v>
      </c>
      <c r="L8">
        <f t="shared" si="6"/>
        <v>36.2213541666667</v>
      </c>
      <c r="M8">
        <f t="shared" si="5"/>
        <v>686.221354166667</v>
      </c>
    </row>
    <row r="9" customFormat="1" spans="1:13">
      <c r="A9" s="1" t="s">
        <v>29</v>
      </c>
      <c r="B9" s="1">
        <v>4450</v>
      </c>
      <c r="C9" s="1">
        <f t="shared" si="0"/>
        <v>675</v>
      </c>
      <c r="D9" s="1">
        <v>1</v>
      </c>
      <c r="E9" s="1">
        <f t="shared" si="1"/>
        <v>75</v>
      </c>
      <c r="F9" s="1">
        <f t="shared" si="2"/>
        <v>600</v>
      </c>
      <c r="G9" s="1">
        <f t="shared" si="3"/>
        <v>675</v>
      </c>
      <c r="H9">
        <v>64</v>
      </c>
      <c r="K9">
        <f t="shared" si="4"/>
        <v>675</v>
      </c>
      <c r="L9">
        <f t="shared" si="6"/>
        <v>36.2213541666667</v>
      </c>
      <c r="M9">
        <f t="shared" si="5"/>
        <v>711.221354166667</v>
      </c>
    </row>
    <row r="10" customFormat="1" spans="1:13">
      <c r="A10" s="1" t="s">
        <v>30</v>
      </c>
      <c r="B10" s="1">
        <v>4000</v>
      </c>
      <c r="C10" s="1">
        <f t="shared" si="0"/>
        <v>450</v>
      </c>
      <c r="D10" s="1">
        <v>1</v>
      </c>
      <c r="E10" s="1">
        <f t="shared" si="1"/>
        <v>75</v>
      </c>
      <c r="F10" s="1">
        <f t="shared" si="2"/>
        <v>375</v>
      </c>
      <c r="G10" s="1">
        <f t="shared" si="3"/>
        <v>450</v>
      </c>
      <c r="H10">
        <v>67</v>
      </c>
      <c r="K10">
        <f t="shared" si="4"/>
        <v>450</v>
      </c>
      <c r="L10">
        <f t="shared" si="6"/>
        <v>36.2213541666667</v>
      </c>
      <c r="M10">
        <f t="shared" si="5"/>
        <v>486.221354166667</v>
      </c>
    </row>
    <row r="11" customFormat="1" spans="1:13">
      <c r="A11" s="1" t="s">
        <v>31</v>
      </c>
      <c r="B11" s="1">
        <v>3475</v>
      </c>
      <c r="C11" s="1">
        <f t="shared" si="0"/>
        <v>525</v>
      </c>
      <c r="D11" s="1">
        <v>1</v>
      </c>
      <c r="E11" s="1">
        <f t="shared" si="1"/>
        <v>75</v>
      </c>
      <c r="F11" s="1">
        <f t="shared" si="2"/>
        <v>450</v>
      </c>
      <c r="G11" s="1">
        <f t="shared" si="3"/>
        <v>525</v>
      </c>
      <c r="H11">
        <v>61</v>
      </c>
      <c r="K11">
        <f t="shared" si="4"/>
        <v>525</v>
      </c>
      <c r="L11">
        <f t="shared" si="6"/>
        <v>36.2213541666667</v>
      </c>
      <c r="M11">
        <f t="shared" si="5"/>
        <v>561.221354166667</v>
      </c>
    </row>
    <row r="12" customFormat="1" spans="1:13">
      <c r="A12" s="1" t="s">
        <v>32</v>
      </c>
      <c r="B12" s="1">
        <v>3200</v>
      </c>
      <c r="C12" s="1">
        <f t="shared" si="0"/>
        <v>275</v>
      </c>
      <c r="D12" s="1">
        <v>1</v>
      </c>
      <c r="E12" s="1">
        <f t="shared" si="1"/>
        <v>75</v>
      </c>
      <c r="F12" s="1">
        <f t="shared" si="2"/>
        <v>200</v>
      </c>
      <c r="G12" s="1">
        <f t="shared" si="3"/>
        <v>275</v>
      </c>
      <c r="H12">
        <v>64</v>
      </c>
      <c r="K12">
        <f t="shared" si="4"/>
        <v>275</v>
      </c>
      <c r="L12">
        <f t="shared" si="6"/>
        <v>36.2213541666667</v>
      </c>
      <c r="M12">
        <f t="shared" si="5"/>
        <v>311.221354166667</v>
      </c>
    </row>
    <row r="13" customFormat="1" spans="1:13">
      <c r="A13" s="1" t="s">
        <v>33</v>
      </c>
      <c r="B13" s="1">
        <v>2400</v>
      </c>
      <c r="C13" s="1">
        <f t="shared" si="0"/>
        <v>800</v>
      </c>
      <c r="D13" s="1">
        <v>0</v>
      </c>
      <c r="E13" s="1">
        <f t="shared" si="1"/>
        <v>0</v>
      </c>
      <c r="F13" s="1">
        <f t="shared" si="2"/>
        <v>800</v>
      </c>
      <c r="G13" s="1">
        <f t="shared" si="3"/>
        <v>875</v>
      </c>
      <c r="H13">
        <v>79</v>
      </c>
      <c r="K13">
        <f t="shared" si="4"/>
        <v>875</v>
      </c>
      <c r="L13">
        <f t="shared" si="6"/>
        <v>36.2213541666667</v>
      </c>
      <c r="M13">
        <f t="shared" si="5"/>
        <v>911.221354166667</v>
      </c>
    </row>
    <row r="14" customFormat="1" spans="1:13">
      <c r="A14" s="1" t="s">
        <v>34</v>
      </c>
      <c r="B14" s="1">
        <v>1650</v>
      </c>
      <c r="C14" s="1">
        <f t="shared" si="0"/>
        <v>750</v>
      </c>
      <c r="D14" s="1">
        <v>0</v>
      </c>
      <c r="E14" s="1">
        <f t="shared" si="1"/>
        <v>0</v>
      </c>
      <c r="F14" s="1">
        <f t="shared" si="2"/>
        <v>750</v>
      </c>
      <c r="G14" s="1">
        <f t="shared" si="3"/>
        <v>825</v>
      </c>
      <c r="H14">
        <v>70</v>
      </c>
      <c r="K14">
        <f t="shared" si="4"/>
        <v>825</v>
      </c>
      <c r="L14">
        <f t="shared" si="6"/>
        <v>36.2213541666667</v>
      </c>
      <c r="M14">
        <f t="shared" si="5"/>
        <v>861.221354166667</v>
      </c>
    </row>
    <row r="15" customFormat="1" spans="1:13">
      <c r="A15" s="1" t="s">
        <v>35</v>
      </c>
      <c r="B15" s="1">
        <v>1050</v>
      </c>
      <c r="C15" s="1">
        <f t="shared" si="0"/>
        <v>600</v>
      </c>
      <c r="D15" s="1">
        <v>3</v>
      </c>
      <c r="E15" s="1">
        <f t="shared" si="1"/>
        <v>225</v>
      </c>
      <c r="F15" s="1">
        <f t="shared" si="2"/>
        <v>375</v>
      </c>
      <c r="G15" s="1">
        <f t="shared" si="3"/>
        <v>450</v>
      </c>
      <c r="H15">
        <v>64</v>
      </c>
      <c r="K15">
        <f t="shared" si="4"/>
        <v>450</v>
      </c>
      <c r="L15">
        <f t="shared" si="6"/>
        <v>36.2213541666667</v>
      </c>
      <c r="M15">
        <f t="shared" si="5"/>
        <v>486.221354166667</v>
      </c>
    </row>
    <row r="16" customFormat="1" spans="1:13">
      <c r="A16" s="1" t="s">
        <v>36</v>
      </c>
      <c r="B16" s="1">
        <v>975</v>
      </c>
      <c r="C16" s="1">
        <f t="shared" si="0"/>
        <v>75</v>
      </c>
      <c r="D16" s="1">
        <v>1</v>
      </c>
      <c r="E16" s="1">
        <f t="shared" si="1"/>
        <v>75</v>
      </c>
      <c r="F16" s="1">
        <f t="shared" si="2"/>
        <v>0</v>
      </c>
      <c r="G16" s="1">
        <f t="shared" si="3"/>
        <v>75</v>
      </c>
      <c r="H16">
        <v>54</v>
      </c>
      <c r="K16">
        <f t="shared" si="4"/>
        <v>75</v>
      </c>
      <c r="L16">
        <f t="shared" si="6"/>
        <v>36.2213541666667</v>
      </c>
      <c r="M16">
        <f t="shared" si="5"/>
        <v>111.221354166667</v>
      </c>
    </row>
    <row r="17" customFormat="1" spans="1:13">
      <c r="A17" s="1" t="s">
        <v>37</v>
      </c>
      <c r="B17" s="1">
        <v>525</v>
      </c>
      <c r="C17" s="1">
        <f t="shared" si="0"/>
        <v>450</v>
      </c>
      <c r="D17" s="1">
        <v>1</v>
      </c>
      <c r="E17" s="1">
        <f t="shared" si="1"/>
        <v>75</v>
      </c>
      <c r="F17" s="1">
        <f t="shared" si="2"/>
        <v>375</v>
      </c>
      <c r="G17" s="1">
        <f t="shared" si="3"/>
        <v>450</v>
      </c>
      <c r="H17">
        <v>67</v>
      </c>
      <c r="I17">
        <f>AVERAGE(G2:G17)</f>
        <v>529.6875</v>
      </c>
      <c r="K17">
        <f t="shared" si="4"/>
        <v>450</v>
      </c>
      <c r="L17">
        <f t="shared" si="6"/>
        <v>36.2213541666667</v>
      </c>
      <c r="M17">
        <f t="shared" si="5"/>
        <v>486.221354166667</v>
      </c>
    </row>
    <row r="18" customFormat="1" spans="1:8">
      <c r="A18" s="2" t="s">
        <v>53</v>
      </c>
      <c r="B18" s="2">
        <v>775</v>
      </c>
      <c r="C18" s="2">
        <f t="shared" si="0"/>
        <v>-250</v>
      </c>
      <c r="D18" s="2">
        <v>1</v>
      </c>
      <c r="E18" s="2">
        <f t="shared" si="1"/>
        <v>75</v>
      </c>
      <c r="F18" s="2">
        <f t="shared" si="2"/>
        <v>-325</v>
      </c>
      <c r="G18" s="2">
        <f t="shared" si="3"/>
        <v>-250</v>
      </c>
      <c r="H18">
        <v>0</v>
      </c>
    </row>
    <row r="19" customFormat="1" spans="1:13">
      <c r="A19" s="2" t="s">
        <v>54</v>
      </c>
      <c r="B19" s="2">
        <v>200</v>
      </c>
      <c r="C19" s="2">
        <f t="shared" si="0"/>
        <v>575</v>
      </c>
      <c r="D19" s="2">
        <v>1</v>
      </c>
      <c r="E19" s="2">
        <f t="shared" si="1"/>
        <v>75</v>
      </c>
      <c r="F19" s="2">
        <f t="shared" si="2"/>
        <v>500</v>
      </c>
      <c r="G19" s="2">
        <f t="shared" si="3"/>
        <v>575</v>
      </c>
      <c r="H19">
        <v>67</v>
      </c>
      <c r="M19">
        <f>AVERAGE(M2:M17)</f>
        <v>565.908854166667</v>
      </c>
    </row>
    <row r="20" customFormat="1" spans="1:8">
      <c r="A20" s="2" t="s">
        <v>55</v>
      </c>
      <c r="B20" s="2">
        <v>950</v>
      </c>
      <c r="C20" s="2">
        <f t="shared" si="0"/>
        <v>-750</v>
      </c>
      <c r="D20" s="2">
        <v>1</v>
      </c>
      <c r="E20" s="2">
        <f t="shared" si="1"/>
        <v>75</v>
      </c>
      <c r="F20" s="2">
        <f t="shared" si="2"/>
        <v>-825</v>
      </c>
      <c r="G20" s="2">
        <f t="shared" si="3"/>
        <v>-750</v>
      </c>
      <c r="H20">
        <v>0</v>
      </c>
    </row>
    <row r="21" customFormat="1" spans="1:8">
      <c r="A21" s="2" t="s">
        <v>56</v>
      </c>
      <c r="B21" s="2">
        <v>600</v>
      </c>
      <c r="C21" s="2">
        <f t="shared" si="0"/>
        <v>350</v>
      </c>
      <c r="D21" s="2">
        <v>1</v>
      </c>
      <c r="E21" s="2">
        <f t="shared" si="1"/>
        <v>75</v>
      </c>
      <c r="F21" s="2">
        <f t="shared" si="2"/>
        <v>275</v>
      </c>
      <c r="G21" s="2">
        <f t="shared" si="3"/>
        <v>350</v>
      </c>
      <c r="H21">
        <v>65</v>
      </c>
    </row>
    <row r="22" customFormat="1" spans="1:8">
      <c r="A22" s="2" t="s">
        <v>57</v>
      </c>
      <c r="B22" s="2">
        <v>800</v>
      </c>
      <c r="C22" s="2">
        <f t="shared" si="0"/>
        <v>-200</v>
      </c>
      <c r="D22" s="2">
        <v>1</v>
      </c>
      <c r="E22" s="2">
        <f t="shared" si="1"/>
        <v>75</v>
      </c>
      <c r="F22" s="2">
        <f t="shared" si="2"/>
        <v>-275</v>
      </c>
      <c r="G22" s="2">
        <f t="shared" si="3"/>
        <v>-200</v>
      </c>
      <c r="H22">
        <v>65</v>
      </c>
    </row>
    <row r="23" customFormat="1" spans="1:8">
      <c r="A23" s="2" t="s">
        <v>58</v>
      </c>
      <c r="B23" s="2">
        <v>1575</v>
      </c>
      <c r="C23" s="2">
        <f t="shared" si="0"/>
        <v>-775</v>
      </c>
      <c r="D23" s="2">
        <v>1</v>
      </c>
      <c r="E23" s="2">
        <f t="shared" si="1"/>
        <v>75</v>
      </c>
      <c r="F23" s="2">
        <f t="shared" si="2"/>
        <v>-850</v>
      </c>
      <c r="G23" s="2">
        <f t="shared" si="3"/>
        <v>-775</v>
      </c>
      <c r="H23">
        <v>0</v>
      </c>
    </row>
    <row r="24" customFormat="1" spans="1:8">
      <c r="A24" s="2" t="s">
        <v>59</v>
      </c>
      <c r="B24" s="2">
        <v>1425</v>
      </c>
      <c r="C24" s="2">
        <f t="shared" si="0"/>
        <v>150</v>
      </c>
      <c r="D24" s="2">
        <v>0</v>
      </c>
      <c r="E24" s="2">
        <f t="shared" si="1"/>
        <v>0</v>
      </c>
      <c r="F24" s="2">
        <f t="shared" si="2"/>
        <v>150</v>
      </c>
      <c r="G24" s="2">
        <f t="shared" si="3"/>
        <v>225</v>
      </c>
      <c r="H24">
        <v>64</v>
      </c>
    </row>
    <row r="25" customFormat="1" spans="1:7">
      <c r="A25" t="s">
        <v>60</v>
      </c>
      <c r="B25">
        <v>350</v>
      </c>
      <c r="C25">
        <f t="shared" si="0"/>
        <v>1075</v>
      </c>
      <c r="D25">
        <v>2</v>
      </c>
      <c r="E25">
        <f t="shared" si="1"/>
        <v>150</v>
      </c>
      <c r="F25">
        <f t="shared" si="2"/>
        <v>925</v>
      </c>
      <c r="G25">
        <f t="shared" si="3"/>
        <v>1000</v>
      </c>
    </row>
    <row r="26" customFormat="1"/>
    <row r="27" spans="1:7">
      <c r="A27" s="1">
        <f>75+450</f>
        <v>525</v>
      </c>
      <c r="B27" s="1">
        <v>75</v>
      </c>
      <c r="C27" s="1">
        <v>125</v>
      </c>
      <c r="D27" s="1">
        <v>125</v>
      </c>
      <c r="E27" s="1"/>
      <c r="G27" t="s">
        <v>61</v>
      </c>
    </row>
    <row r="28" spans="1:7">
      <c r="A28" s="1" t="s">
        <v>62</v>
      </c>
      <c r="B28" s="1" t="s">
        <v>63</v>
      </c>
      <c r="C28" s="1" t="s">
        <v>64</v>
      </c>
      <c r="D28" s="1" t="s">
        <v>65</v>
      </c>
      <c r="E28" s="1"/>
      <c r="G28">
        <v>5</v>
      </c>
    </row>
    <row r="29" spans="1:5">
      <c r="A29" s="1">
        <v>280</v>
      </c>
      <c r="B29" s="1">
        <v>236</v>
      </c>
      <c r="C29" s="2">
        <v>3044</v>
      </c>
      <c r="D29" s="1">
        <v>284</v>
      </c>
      <c r="E29" s="1"/>
    </row>
    <row r="30" spans="1:5">
      <c r="A30" s="1">
        <v>204</v>
      </c>
      <c r="B30" s="1"/>
      <c r="C30" s="2">
        <v>3412</v>
      </c>
      <c r="D30" s="1"/>
      <c r="E30" s="1"/>
    </row>
    <row r="31" spans="1:5">
      <c r="A31" s="1">
        <v>268</v>
      </c>
      <c r="B31" s="1"/>
      <c r="C31" s="2">
        <v>1468</v>
      </c>
      <c r="D31" s="1"/>
      <c r="E31" s="1"/>
    </row>
    <row r="32" spans="1:5">
      <c r="A32" s="1"/>
      <c r="B32" s="1"/>
      <c r="C32" s="1">
        <v>2708</v>
      </c>
      <c r="D32" s="1"/>
      <c r="E32" s="1"/>
    </row>
    <row r="33" spans="1:5">
      <c r="A33" s="1"/>
      <c r="B33" s="1"/>
      <c r="C33" s="1">
        <v>1464</v>
      </c>
      <c r="D33" s="1"/>
      <c r="E33" s="1"/>
    </row>
    <row r="34" spans="1:5">
      <c r="A34" s="1"/>
      <c r="B34" s="1"/>
      <c r="C34" s="1">
        <v>3748</v>
      </c>
      <c r="D34" s="1"/>
      <c r="E34" s="1"/>
    </row>
    <row r="35" spans="1:8">
      <c r="A35" s="1"/>
      <c r="B35" s="1"/>
      <c r="C35" s="1">
        <v>2624</v>
      </c>
      <c r="D35" s="1"/>
      <c r="E35" s="1"/>
      <c r="H35">
        <f>G28*125/16</f>
        <v>39.0625</v>
      </c>
    </row>
    <row r="36" spans="1:5">
      <c r="A36" s="1"/>
      <c r="B36" s="1"/>
      <c r="C36" s="1"/>
      <c r="D36" s="1"/>
      <c r="E36" s="1"/>
    </row>
    <row r="37" spans="1:9">
      <c r="A37" s="1">
        <f>A27*3-A27*SUM(A29:A31)/300</f>
        <v>259</v>
      </c>
      <c r="B37" s="1">
        <f>B27*1-B27*B29/300</f>
        <v>16</v>
      </c>
      <c r="C37" s="1">
        <f>C27*7-C27*SUM(C29:C35)/4000</f>
        <v>297.875</v>
      </c>
      <c r="D37" s="1">
        <f>D27-D27*D29/300</f>
        <v>6.66666666666667</v>
      </c>
      <c r="E37" s="1">
        <f>SUM(A37:D37)</f>
        <v>579.541666666667</v>
      </c>
      <c r="G37">
        <f>E37/16</f>
        <v>36.2213541666667</v>
      </c>
      <c r="I37">
        <f>I17+G37</f>
        <v>565.908854166667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"/>
  <sheetViews>
    <sheetView workbookViewId="0">
      <selection activeCell="E19" sqref="E19"/>
    </sheetView>
  </sheetViews>
  <sheetFormatPr defaultColWidth="9" defaultRowHeight="13.5"/>
  <cols>
    <col min="6" max="6" width="12.5" customWidth="1"/>
    <col min="9" max="9" width="13.75"/>
  </cols>
  <sheetData>
    <row r="1" customFormat="1" spans="2:8">
      <c r="B1">
        <v>2000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41</v>
      </c>
    </row>
    <row r="2" customFormat="1" spans="1:13">
      <c r="A2" t="s">
        <v>22</v>
      </c>
      <c r="B2" s="1">
        <v>2425</v>
      </c>
      <c r="C2" s="1">
        <v>-425</v>
      </c>
      <c r="D2" s="1">
        <v>1</v>
      </c>
      <c r="E2" s="1">
        <v>75</v>
      </c>
      <c r="F2" s="1">
        <v>-500</v>
      </c>
      <c r="G2" s="1">
        <v>-425</v>
      </c>
      <c r="H2">
        <v>68</v>
      </c>
      <c r="K2">
        <f t="shared" ref="K2:K7" si="0">G2</f>
        <v>-425</v>
      </c>
      <c r="L2">
        <f>E18</f>
        <v>59</v>
      </c>
      <c r="M2">
        <f t="shared" ref="M2:M7" si="1">K2+L2</f>
        <v>-366</v>
      </c>
    </row>
    <row r="3" customFormat="1" spans="1:13">
      <c r="A3" t="s">
        <v>23</v>
      </c>
      <c r="B3" s="1">
        <v>2800</v>
      </c>
      <c r="C3" s="1">
        <v>-375</v>
      </c>
      <c r="D3" s="1">
        <v>1</v>
      </c>
      <c r="E3" s="1">
        <v>75</v>
      </c>
      <c r="F3" s="1">
        <v>-450</v>
      </c>
      <c r="G3" s="1">
        <v>-375</v>
      </c>
      <c r="H3">
        <v>65</v>
      </c>
      <c r="K3">
        <f t="shared" si="0"/>
        <v>-375</v>
      </c>
      <c r="L3">
        <f>L2</f>
        <v>59</v>
      </c>
      <c r="M3">
        <f t="shared" si="1"/>
        <v>-316</v>
      </c>
    </row>
    <row r="4" customFormat="1" spans="1:13">
      <c r="A4" t="s">
        <v>24</v>
      </c>
      <c r="B4" s="1">
        <v>3025</v>
      </c>
      <c r="C4" s="1">
        <v>-225</v>
      </c>
      <c r="D4" s="1">
        <v>1</v>
      </c>
      <c r="E4" s="1">
        <v>75</v>
      </c>
      <c r="F4" s="1">
        <v>-300</v>
      </c>
      <c r="G4" s="1">
        <v>-225</v>
      </c>
      <c r="H4">
        <v>71</v>
      </c>
      <c r="K4">
        <f t="shared" si="0"/>
        <v>-225</v>
      </c>
      <c r="L4">
        <f>L3</f>
        <v>59</v>
      </c>
      <c r="M4">
        <f t="shared" si="1"/>
        <v>-166</v>
      </c>
    </row>
    <row r="5" customFormat="1" spans="1:13">
      <c r="A5" t="s">
        <v>25</v>
      </c>
      <c r="B5" s="1">
        <v>2950</v>
      </c>
      <c r="C5" s="1">
        <v>75</v>
      </c>
      <c r="D5" s="1">
        <v>1</v>
      </c>
      <c r="E5" s="1">
        <v>75</v>
      </c>
      <c r="F5" s="1">
        <v>0</v>
      </c>
      <c r="G5" s="1">
        <v>75</v>
      </c>
      <c r="H5">
        <v>78</v>
      </c>
      <c r="K5">
        <f t="shared" si="0"/>
        <v>75</v>
      </c>
      <c r="L5">
        <f>L4</f>
        <v>59</v>
      </c>
      <c r="M5">
        <f t="shared" si="1"/>
        <v>134</v>
      </c>
    </row>
    <row r="6" customFormat="1" spans="1:13">
      <c r="A6" t="s">
        <v>26</v>
      </c>
      <c r="B6" s="1">
        <v>3350</v>
      </c>
      <c r="C6" s="1">
        <v>-400</v>
      </c>
      <c r="D6" s="1">
        <v>1</v>
      </c>
      <c r="E6" s="1">
        <v>75</v>
      </c>
      <c r="F6" s="1">
        <v>-475</v>
      </c>
      <c r="G6" s="1">
        <v>-400</v>
      </c>
      <c r="H6">
        <v>60</v>
      </c>
      <c r="K6">
        <f t="shared" si="0"/>
        <v>-400</v>
      </c>
      <c r="L6">
        <f>L5</f>
        <v>59</v>
      </c>
      <c r="M6">
        <f t="shared" si="1"/>
        <v>-341</v>
      </c>
    </row>
    <row r="7" customFormat="1" spans="1:13">
      <c r="A7" t="s">
        <v>27</v>
      </c>
      <c r="B7" s="1">
        <v>3800</v>
      </c>
      <c r="C7" s="1">
        <v>-450</v>
      </c>
      <c r="D7" s="1">
        <v>1</v>
      </c>
      <c r="E7" s="1">
        <v>75</v>
      </c>
      <c r="F7" s="1">
        <v>-525</v>
      </c>
      <c r="G7" s="1">
        <v>-450</v>
      </c>
      <c r="H7">
        <v>65</v>
      </c>
      <c r="I7">
        <f>AVERAGE(G2:G7)</f>
        <v>-300</v>
      </c>
      <c r="K7">
        <f t="shared" si="0"/>
        <v>-450</v>
      </c>
      <c r="L7">
        <f>L6</f>
        <v>59</v>
      </c>
      <c r="M7">
        <f t="shared" si="1"/>
        <v>-391</v>
      </c>
    </row>
    <row r="8" customFormat="1" spans="1:8">
      <c r="A8" t="s">
        <v>28</v>
      </c>
      <c r="B8">
        <v>3550</v>
      </c>
      <c r="C8">
        <v>250</v>
      </c>
      <c r="D8">
        <v>1</v>
      </c>
      <c r="E8">
        <v>75</v>
      </c>
      <c r="F8">
        <v>175</v>
      </c>
      <c r="G8">
        <v>250</v>
      </c>
      <c r="H8">
        <v>73</v>
      </c>
    </row>
    <row r="9" customFormat="1" spans="13:13">
      <c r="M9">
        <f>AVERAGE(M2:M7)</f>
        <v>-241</v>
      </c>
    </row>
    <row r="10" customFormat="1" spans="1:4">
      <c r="A10" s="1">
        <v>75</v>
      </c>
      <c r="B10" s="1">
        <v>125</v>
      </c>
      <c r="D10" t="s">
        <v>61</v>
      </c>
    </row>
    <row r="11" customFormat="1" spans="1:4">
      <c r="A11" s="1" t="s">
        <v>63</v>
      </c>
      <c r="B11" s="1" t="s">
        <v>64</v>
      </c>
      <c r="D11">
        <v>0</v>
      </c>
    </row>
    <row r="12" customFormat="1" spans="1:2">
      <c r="A12" s="1">
        <v>112</v>
      </c>
      <c r="B12" s="2">
        <v>972</v>
      </c>
    </row>
    <row r="13" customFormat="1" spans="1:2">
      <c r="A13" s="1"/>
      <c r="B13" s="2">
        <v>840</v>
      </c>
    </row>
    <row r="14" customFormat="1" spans="1:2">
      <c r="A14" s="1"/>
      <c r="B14" s="2">
        <v>1164</v>
      </c>
    </row>
    <row r="15" customFormat="1" spans="1:2">
      <c r="A15" s="1"/>
      <c r="B15" s="1">
        <v>3216</v>
      </c>
    </row>
    <row r="16" customFormat="1" spans="1:2">
      <c r="A16" s="1"/>
      <c r="B16" s="1">
        <v>3984</v>
      </c>
    </row>
    <row r="17" spans="1:2">
      <c r="A17" s="1"/>
      <c r="B17" s="1"/>
    </row>
    <row r="18" spans="1:9">
      <c r="A18" s="1">
        <f>A10-A10*A12/300</f>
        <v>47</v>
      </c>
      <c r="B18" s="1">
        <f>B10*5-B10*SUM(B12:B16)/4000</f>
        <v>307</v>
      </c>
      <c r="C18">
        <f>SUM(A18:B18)</f>
        <v>354</v>
      </c>
      <c r="E18">
        <f>C18/6</f>
        <v>59</v>
      </c>
      <c r="I18">
        <f>I7+E18</f>
        <v>-241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workbookViewId="0">
      <selection activeCell="M2" sqref="M2:M6"/>
    </sheetView>
  </sheetViews>
  <sheetFormatPr defaultColWidth="9" defaultRowHeight="13.5"/>
  <cols>
    <col min="4" max="4" width="12.625"/>
    <col min="6" max="6" width="12.5" customWidth="1"/>
    <col min="9" max="9" width="13.75"/>
    <col min="12" max="12" width="12.625"/>
    <col min="13" max="13" width="13.75"/>
  </cols>
  <sheetData>
    <row r="1" customFormat="1" spans="2:7">
      <c r="B1">
        <v>2000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</row>
    <row r="2" customFormat="1" spans="1:13">
      <c r="A2" t="s">
        <v>22</v>
      </c>
      <c r="B2" s="1">
        <v>2325</v>
      </c>
      <c r="C2" s="1">
        <v>-325</v>
      </c>
      <c r="D2" s="1">
        <v>1</v>
      </c>
      <c r="E2" s="1">
        <v>75</v>
      </c>
      <c r="F2" s="1">
        <v>-400</v>
      </c>
      <c r="G2" s="1">
        <v>-325</v>
      </c>
      <c r="K2">
        <f t="shared" ref="K2:K7" si="0">G2</f>
        <v>-325</v>
      </c>
      <c r="L2">
        <f>D19</f>
        <v>102.270833333333</v>
      </c>
      <c r="M2">
        <f t="shared" ref="M2:M7" si="1">K2+L2</f>
        <v>-222.729166666667</v>
      </c>
    </row>
    <row r="3" customFormat="1" spans="1:13">
      <c r="A3" t="s">
        <v>23</v>
      </c>
      <c r="B3" s="1">
        <v>2150</v>
      </c>
      <c r="C3" s="1">
        <v>175</v>
      </c>
      <c r="D3" s="1">
        <v>1</v>
      </c>
      <c r="E3" s="1">
        <v>75</v>
      </c>
      <c r="F3" s="1">
        <v>100</v>
      </c>
      <c r="G3" s="1">
        <v>175</v>
      </c>
      <c r="K3">
        <f t="shared" si="0"/>
        <v>175</v>
      </c>
      <c r="L3">
        <f>L2</f>
        <v>102.270833333333</v>
      </c>
      <c r="M3">
        <f t="shared" si="1"/>
        <v>277.270833333333</v>
      </c>
    </row>
    <row r="4" customFormat="1" spans="1:13">
      <c r="A4" t="s">
        <v>24</v>
      </c>
      <c r="B4" s="1">
        <v>3050</v>
      </c>
      <c r="C4" s="1">
        <v>-900</v>
      </c>
      <c r="D4" s="1">
        <v>1</v>
      </c>
      <c r="E4" s="1">
        <v>75</v>
      </c>
      <c r="F4" s="1">
        <v>-975</v>
      </c>
      <c r="G4" s="1">
        <v>-900</v>
      </c>
      <c r="K4">
        <f t="shared" si="0"/>
        <v>-900</v>
      </c>
      <c r="L4">
        <f>L3</f>
        <v>102.270833333333</v>
      </c>
      <c r="M4">
        <f t="shared" si="1"/>
        <v>-797.729166666667</v>
      </c>
    </row>
    <row r="5" customFormat="1" spans="1:13">
      <c r="A5" t="s">
        <v>25</v>
      </c>
      <c r="B5" s="1">
        <v>3750</v>
      </c>
      <c r="C5" s="1">
        <v>-700</v>
      </c>
      <c r="D5" s="1">
        <v>1</v>
      </c>
      <c r="E5" s="1">
        <v>75</v>
      </c>
      <c r="F5" s="1">
        <v>-775</v>
      </c>
      <c r="G5" s="1">
        <v>-700</v>
      </c>
      <c r="K5">
        <f t="shared" si="0"/>
        <v>-700</v>
      </c>
      <c r="L5">
        <f>L4</f>
        <v>102.270833333333</v>
      </c>
      <c r="M5">
        <f t="shared" si="1"/>
        <v>-597.729166666667</v>
      </c>
    </row>
    <row r="6" customFormat="1" spans="1:13">
      <c r="A6" t="s">
        <v>26</v>
      </c>
      <c r="B6" s="1">
        <v>4300</v>
      </c>
      <c r="C6" s="1">
        <v>-550</v>
      </c>
      <c r="D6" s="1">
        <v>1</v>
      </c>
      <c r="E6" s="1">
        <v>75</v>
      </c>
      <c r="F6" s="1">
        <v>-625</v>
      </c>
      <c r="G6" s="1">
        <v>-550</v>
      </c>
      <c r="K6">
        <f t="shared" si="0"/>
        <v>-550</v>
      </c>
      <c r="L6">
        <f>L5</f>
        <v>102.270833333333</v>
      </c>
      <c r="M6">
        <f t="shared" si="1"/>
        <v>-447.729166666667</v>
      </c>
    </row>
    <row r="7" customFormat="1" spans="1:13">
      <c r="A7" t="s">
        <v>27</v>
      </c>
      <c r="B7" s="1">
        <v>4825</v>
      </c>
      <c r="C7" s="1">
        <v>-525</v>
      </c>
      <c r="D7" s="1">
        <v>1</v>
      </c>
      <c r="E7" s="1">
        <v>75</v>
      </c>
      <c r="F7" s="1">
        <v>-600</v>
      </c>
      <c r="G7" s="1">
        <v>-525</v>
      </c>
      <c r="I7">
        <f>AVERAGE(G2:G7)</f>
        <v>-470.833333333333</v>
      </c>
      <c r="K7">
        <f t="shared" si="0"/>
        <v>-525</v>
      </c>
      <c r="L7">
        <f>L6</f>
        <v>102.270833333333</v>
      </c>
      <c r="M7">
        <f t="shared" si="1"/>
        <v>-422.729166666667</v>
      </c>
    </row>
    <row r="8" customFormat="1"/>
    <row r="9" customFormat="1" spans="1:13">
      <c r="A9" s="1">
        <f>75+450</f>
        <v>525</v>
      </c>
      <c r="B9" s="1">
        <v>125</v>
      </c>
      <c r="D9" t="s">
        <v>61</v>
      </c>
      <c r="M9">
        <f>AVERAGE(M2:M7)</f>
        <v>-368.5625</v>
      </c>
    </row>
    <row r="10" customFormat="1" spans="1:4">
      <c r="A10" s="1" t="s">
        <v>62</v>
      </c>
      <c r="B10" s="1" t="s">
        <v>64</v>
      </c>
      <c r="D10">
        <v>0</v>
      </c>
    </row>
    <row r="11" customFormat="1" spans="1:2">
      <c r="A11" s="1">
        <v>252</v>
      </c>
      <c r="B11" s="2">
        <v>1348</v>
      </c>
    </row>
    <row r="12" customFormat="1" spans="1:2">
      <c r="A12" s="1">
        <v>276</v>
      </c>
      <c r="B12" s="2">
        <v>768</v>
      </c>
    </row>
    <row r="13" customFormat="1" spans="1:2">
      <c r="A13" s="1"/>
      <c r="B13" s="2">
        <v>1540</v>
      </c>
    </row>
    <row r="14" customFormat="1" spans="1:2">
      <c r="A14" s="1"/>
      <c r="B14" s="1">
        <v>1196</v>
      </c>
    </row>
    <row r="15" customFormat="1" spans="1:2">
      <c r="A15" s="1"/>
      <c r="B15" s="1">
        <v>3480</v>
      </c>
    </row>
    <row r="16" customFormat="1" spans="1:2">
      <c r="A16" s="1"/>
      <c r="B16" s="1">
        <v>2560</v>
      </c>
    </row>
    <row r="17" customFormat="1" spans="1:2">
      <c r="A17" s="1"/>
      <c r="B17" s="1">
        <v>1504</v>
      </c>
    </row>
    <row r="18" spans="1:2">
      <c r="A18" s="1"/>
      <c r="B18" s="1"/>
    </row>
    <row r="19" spans="1:9">
      <c r="A19" s="1">
        <f>A9*2-A9*SUM(A11:A12)/300</f>
        <v>126</v>
      </c>
      <c r="B19" s="1">
        <f>B9*7-B9*SUM(B11:B17)/4000</f>
        <v>487.625</v>
      </c>
      <c r="D19">
        <f>SUM(A19:B19)/6</f>
        <v>102.270833333333</v>
      </c>
      <c r="I19">
        <f>I7+D19</f>
        <v>-368.5625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汇总</vt:lpstr>
      <vt:lpstr>破阵率</vt:lpstr>
      <vt:lpstr>折线对比</vt:lpstr>
      <vt:lpstr>矿工阳光消耗</vt:lpstr>
      <vt:lpstr>模型参数</vt:lpstr>
      <vt:lpstr>连红橄</vt:lpstr>
      <vt:lpstr>连红无橄</vt:lpstr>
      <vt:lpstr>连橄无红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乔荔(2022012959)</cp:lastModifiedBy>
  <dcterms:created xsi:type="dcterms:W3CDTF">2025-02-03T01:50:00Z</dcterms:created>
  <dcterms:modified xsi:type="dcterms:W3CDTF">2025-05-27T18:19:25Z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D4A6D8782FF748E1B7A89F134702C9EF_12</vt:lpwstr>
  </property>
  <property fmtid="{D5CDD505-2E9C-101B-9397-08002B2CF9AE}" pid="3" name="KSOProductBuildVer">
    <vt:lpwstr>2052-11.1.0.14036</vt:lpwstr>
  </property>
</Properties>
</file>