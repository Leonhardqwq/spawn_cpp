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40" windowHeight="8100" activeTab="3"/>
  </bookViews>
  <sheets>
    <sheet name="汇总" sheetId="4" r:id="rId1"/>
    <sheet name="折线对比1" sheetId="7" r:id="rId2"/>
    <sheet name="矿工阳光消耗" sheetId="6" r:id="rId3"/>
    <sheet name="模型参数" sheetId="5" r:id="rId4"/>
    <sheet name="破阵率" sheetId="8" r:id="rId5"/>
    <sheet name="截图" sheetId="10" r:id="rId6"/>
  </sheets>
  <calcPr calcId="144525"/>
</workbook>
</file>

<file path=xl/sharedStrings.xml><?xml version="1.0" encoding="utf-8"?>
<sst xmlns="http://schemas.openxmlformats.org/spreadsheetml/2006/main" count="112" uniqueCount="45">
  <si>
    <t>Y</t>
  </si>
  <si>
    <t>红</t>
  </si>
  <si>
    <t>气</t>
  </si>
  <si>
    <t>橄</t>
  </si>
  <si>
    <t>舞</t>
  </si>
  <si>
    <t>篮</t>
  </si>
  <si>
    <t>撑</t>
  </si>
  <si>
    <t>白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</si>
  <si>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</si>
  <si>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</si>
  <si>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</si>
  <si>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</si>
  <si>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</si>
  <si>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</si>
  <si>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</si>
  <si>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</si>
  <si>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</si>
  <si>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</si>
  <si>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</si>
  <si>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</si>
  <si>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</si>
  <si>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</si>
  <si>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</si>
  <si>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</si>
  <si>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</si>
  <si>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</si>
  <si>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</si>
  <si>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</si>
  <si>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</si>
  <si>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</si>
  <si>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</si>
  <si>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</si>
  <si>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</si>
  <si>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</si>
  <si>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dlt</t>
  </si>
  <si>
    <t>pred</t>
  </si>
  <si>
    <t>个数</t>
  </si>
  <si>
    <t>均摊阳光</t>
  </si>
  <si>
    <t>最后</t>
  </si>
  <si>
    <t>中途</t>
  </si>
  <si>
    <t>总计</t>
  </si>
  <si>
    <t>百f</t>
  </si>
  <si>
    <t>千f</t>
  </si>
  <si>
    <t>万f</t>
  </si>
  <si>
    <t>砍花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</si>
</sst>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.5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折线对比1!$C$2:$C$27</c:f>
              <c:numCache>
                <c:formatCode>General</c:formatCode>
                <c:ptCount val="26"/>
                <c:pt idx="0">
                  <c:v>8000</c:v>
                </c:pt>
                <c:pt idx="1">
                  <c:v>7730</c:v>
                </c:pt>
                <c:pt idx="2">
                  <c:v>7040</c:v>
                </c:pt>
                <c:pt idx="3">
                  <c:v>6890</c:v>
                </c:pt>
                <c:pt idx="4">
                  <c:v>5885</c:v>
                </c:pt>
                <c:pt idx="5">
                  <c:v>5880</c:v>
                </c:pt>
                <c:pt idx="6">
                  <c:v>5840</c:v>
                </c:pt>
                <c:pt idx="7">
                  <c:v>5065</c:v>
                </c:pt>
                <c:pt idx="8">
                  <c:v>4775</c:v>
                </c:pt>
                <c:pt idx="9">
                  <c:v>4360</c:v>
                </c:pt>
                <c:pt idx="10">
                  <c:v>4180</c:v>
                </c:pt>
                <c:pt idx="11">
                  <c:v>4310</c:v>
                </c:pt>
                <c:pt idx="12">
                  <c:v>4980</c:v>
                </c:pt>
                <c:pt idx="13">
                  <c:v>6205</c:v>
                </c:pt>
                <c:pt idx="14">
                  <c:v>6410</c:v>
                </c:pt>
                <c:pt idx="15">
                  <c:v>6335</c:v>
                </c:pt>
                <c:pt idx="16">
                  <c:v>6105</c:v>
                </c:pt>
                <c:pt idx="17">
                  <c:v>6090</c:v>
                </c:pt>
                <c:pt idx="18">
                  <c:v>5725</c:v>
                </c:pt>
                <c:pt idx="19">
                  <c:v>5545</c:v>
                </c:pt>
                <c:pt idx="20">
                  <c:v>5610</c:v>
                </c:pt>
                <c:pt idx="21">
                  <c:v>5620</c:v>
                </c:pt>
                <c:pt idx="22">
                  <c:v>5040</c:v>
                </c:pt>
                <c:pt idx="23">
                  <c:v>5155</c:v>
                </c:pt>
                <c:pt idx="24">
                  <c:v>5725</c:v>
                </c:pt>
                <c:pt idx="25">
                  <c:v>5420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折线对比1!$D$2:$D$27</c:f>
              <c:numCache>
                <c:formatCode>General</c:formatCode>
                <c:ptCount val="26"/>
                <c:pt idx="0">
                  <c:v>8000</c:v>
                </c:pt>
                <c:pt idx="1">
                  <c:v>7842</c:v>
                </c:pt>
                <c:pt idx="2">
                  <c:v>7513</c:v>
                </c:pt>
                <c:pt idx="3">
                  <c:v>7159</c:v>
                </c:pt>
                <c:pt idx="4">
                  <c:v>6666</c:v>
                </c:pt>
                <c:pt idx="5">
                  <c:v>6528</c:v>
                </c:pt>
                <c:pt idx="6">
                  <c:v>6544</c:v>
                </c:pt>
                <c:pt idx="7">
                  <c:v>5824</c:v>
                </c:pt>
                <c:pt idx="8">
                  <c:v>5615</c:v>
                </c:pt>
                <c:pt idx="9">
                  <c:v>5248</c:v>
                </c:pt>
                <c:pt idx="10">
                  <c:v>4701</c:v>
                </c:pt>
                <c:pt idx="11">
                  <c:v>4619</c:v>
                </c:pt>
                <c:pt idx="12">
                  <c:v>5282</c:v>
                </c:pt>
                <c:pt idx="13">
                  <c:v>6514</c:v>
                </c:pt>
                <c:pt idx="14">
                  <c:v>6744</c:v>
                </c:pt>
                <c:pt idx="15">
                  <c:v>6563</c:v>
                </c:pt>
                <c:pt idx="16">
                  <c:v>6431</c:v>
                </c:pt>
                <c:pt idx="17">
                  <c:v>6149</c:v>
                </c:pt>
                <c:pt idx="18">
                  <c:v>5774</c:v>
                </c:pt>
                <c:pt idx="19">
                  <c:v>5392</c:v>
                </c:pt>
                <c:pt idx="20">
                  <c:v>5173</c:v>
                </c:pt>
                <c:pt idx="21">
                  <c:v>5347</c:v>
                </c:pt>
                <c:pt idx="22">
                  <c:v>4869</c:v>
                </c:pt>
                <c:pt idx="23">
                  <c:v>5079</c:v>
                </c:pt>
                <c:pt idx="24">
                  <c:v>5508</c:v>
                </c:pt>
                <c:pt idx="25">
                  <c:v>5420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10000"/>
          <c:min val="3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224790</xdr:colOff>
      <xdr:row>4</xdr:row>
      <xdr:rowOff>128270</xdr:rowOff>
    </xdr:from>
    <xdr:to>
      <xdr:col>15</xdr:col>
      <xdr:colOff>486410</xdr:colOff>
      <xdr:row>23</xdr:row>
      <xdr:rowOff>63500</xdr:rowOff>
    </xdr:to>
    <xdr:graphicFrame>
      <xdr:nvGraphicFramePr>
        <xdr:cNvPr id="4" name="图表 3"/>
        <xdr:cNvGraphicFramePr/>
      </xdr:nvGraphicFramePr>
      <xdr:xfrm>
        <a:off x="5233670" y="814070"/>
        <a:ext cx="5748020" cy="319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6"/>
  <sheetViews>
    <sheetView workbookViewId="0">
      <selection activeCell="B3" sqref="B3"/>
    </sheetView>
  </sheetViews>
  <sheetFormatPr defaultColWidth="9" defaultRowHeight="13.5"/>
  <cols>
    <col min="1" max="1" width="9" style="2"/>
    <col min="2" max="2" width="13.75" style="2"/>
    <col min="3" max="16384" width="9" style="2"/>
  </cols>
  <sheetData>
    <row r="1" spans="1:1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L1" s="2">
        <v>8000</v>
      </c>
    </row>
    <row r="2" spans="1:12">
      <c r="A2" s="1" t="s">
        <v>9</v>
      </c>
      <c r="B2" s="1">
        <f>L2-L1</f>
        <v>-245</v>
      </c>
      <c r="C2" s="3">
        <v>1</v>
      </c>
      <c r="D2" s="3">
        <v>0</v>
      </c>
      <c r="E2" s="3">
        <v>1</v>
      </c>
      <c r="F2" s="3">
        <v>0</v>
      </c>
      <c r="G2" s="3">
        <v>1</v>
      </c>
      <c r="H2" s="3">
        <v>1</v>
      </c>
      <c r="I2" s="3">
        <v>1</v>
      </c>
      <c r="J2" s="3">
        <v>14401</v>
      </c>
      <c r="K2" s="4"/>
      <c r="L2" s="2">
        <v>7755</v>
      </c>
    </row>
    <row r="3" spans="1:12">
      <c r="A3" s="1" t="s">
        <v>10</v>
      </c>
      <c r="B3" s="1">
        <f t="shared" ref="B3:B26" si="0">L3-L2</f>
        <v>-665</v>
      </c>
      <c r="C3" s="3">
        <v>1</v>
      </c>
      <c r="D3" s="3">
        <v>0</v>
      </c>
      <c r="E3" s="3">
        <v>1</v>
      </c>
      <c r="F3" s="3">
        <v>1</v>
      </c>
      <c r="G3" s="3">
        <v>1</v>
      </c>
      <c r="H3" s="3">
        <v>0</v>
      </c>
      <c r="I3" s="3">
        <v>1</v>
      </c>
      <c r="J3" s="3">
        <v>13401</v>
      </c>
      <c r="K3" s="4"/>
      <c r="L3" s="2">
        <v>7090</v>
      </c>
    </row>
    <row r="4" spans="1:12">
      <c r="A4" s="1" t="s">
        <v>11</v>
      </c>
      <c r="B4" s="1">
        <f t="shared" si="0"/>
        <v>-125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11401</v>
      </c>
      <c r="K4" s="4"/>
      <c r="L4" s="2">
        <v>6965</v>
      </c>
    </row>
    <row r="5" spans="1:12">
      <c r="A5" s="1" t="s">
        <v>12</v>
      </c>
      <c r="B5" s="1">
        <f t="shared" si="0"/>
        <v>-980</v>
      </c>
      <c r="C5" s="3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8901</v>
      </c>
      <c r="K5" s="4"/>
      <c r="L5" s="2">
        <v>5985</v>
      </c>
    </row>
    <row r="6" spans="1:12">
      <c r="A6" s="1" t="s">
        <v>13</v>
      </c>
      <c r="B6" s="1">
        <f t="shared" si="0"/>
        <v>20</v>
      </c>
      <c r="C6" s="3">
        <v>1</v>
      </c>
      <c r="D6" s="3">
        <v>0</v>
      </c>
      <c r="E6" s="3">
        <v>1</v>
      </c>
      <c r="F6" s="3">
        <v>0</v>
      </c>
      <c r="G6" s="3">
        <v>0</v>
      </c>
      <c r="H6" s="3">
        <v>1</v>
      </c>
      <c r="I6" s="3">
        <v>1</v>
      </c>
      <c r="J6" s="3">
        <v>13401</v>
      </c>
      <c r="K6" s="4"/>
      <c r="L6" s="2">
        <v>6005</v>
      </c>
    </row>
    <row r="7" spans="1:12">
      <c r="A7" s="1" t="s">
        <v>14</v>
      </c>
      <c r="B7" s="1">
        <f t="shared" si="0"/>
        <v>-15</v>
      </c>
      <c r="C7" s="3">
        <v>1</v>
      </c>
      <c r="D7" s="3">
        <v>0</v>
      </c>
      <c r="E7" s="3">
        <v>0</v>
      </c>
      <c r="F7" s="3">
        <v>1</v>
      </c>
      <c r="G7" s="3">
        <v>1</v>
      </c>
      <c r="H7" s="3">
        <v>0</v>
      </c>
      <c r="I7" s="3">
        <v>1</v>
      </c>
      <c r="J7" s="3">
        <v>11401</v>
      </c>
      <c r="K7" s="4"/>
      <c r="L7" s="2">
        <v>5990</v>
      </c>
    </row>
    <row r="8" spans="1:12">
      <c r="A8" s="1" t="s">
        <v>15</v>
      </c>
      <c r="B8" s="1">
        <f t="shared" si="0"/>
        <v>-750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1</v>
      </c>
      <c r="I8" s="3">
        <v>0</v>
      </c>
      <c r="J8" s="3">
        <v>11901</v>
      </c>
      <c r="K8" s="4"/>
      <c r="L8" s="2">
        <v>5240</v>
      </c>
    </row>
    <row r="9" spans="1:12">
      <c r="A9" s="1" t="s">
        <v>16</v>
      </c>
      <c r="B9" s="1">
        <f t="shared" si="0"/>
        <v>-265</v>
      </c>
      <c r="C9" s="3">
        <v>1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12901</v>
      </c>
      <c r="K9" s="4"/>
      <c r="L9" s="2">
        <v>4975</v>
      </c>
    </row>
    <row r="10" spans="1:12">
      <c r="A10" s="1" t="s">
        <v>17</v>
      </c>
      <c r="B10" s="1">
        <f t="shared" si="0"/>
        <v>-390</v>
      </c>
      <c r="C10" s="3">
        <v>1</v>
      </c>
      <c r="D10" s="3">
        <v>1</v>
      </c>
      <c r="E10" s="3">
        <v>1</v>
      </c>
      <c r="F10" s="3">
        <v>0</v>
      </c>
      <c r="G10" s="3">
        <v>0</v>
      </c>
      <c r="H10" s="3">
        <v>1</v>
      </c>
      <c r="I10" s="3">
        <v>0</v>
      </c>
      <c r="J10" s="3">
        <v>16901</v>
      </c>
      <c r="K10" s="4"/>
      <c r="L10" s="2">
        <v>4585</v>
      </c>
    </row>
    <row r="11" spans="1:12">
      <c r="A11" s="1" t="s">
        <v>18</v>
      </c>
      <c r="B11" s="1">
        <f t="shared" si="0"/>
        <v>-155</v>
      </c>
      <c r="C11" s="3">
        <v>1</v>
      </c>
      <c r="D11" s="3">
        <v>1</v>
      </c>
      <c r="E11" s="3">
        <v>0</v>
      </c>
      <c r="F11" s="3">
        <v>1</v>
      </c>
      <c r="G11" s="3">
        <v>1</v>
      </c>
      <c r="H11" s="3">
        <v>0</v>
      </c>
      <c r="I11" s="3">
        <v>1</v>
      </c>
      <c r="J11" s="3">
        <v>11401</v>
      </c>
      <c r="K11" s="4"/>
      <c r="L11" s="2">
        <v>4430</v>
      </c>
    </row>
    <row r="12" spans="1:12">
      <c r="A12" s="1" t="s">
        <v>19</v>
      </c>
      <c r="B12" s="1">
        <f t="shared" si="0"/>
        <v>155</v>
      </c>
      <c r="C12" s="3">
        <v>1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1</v>
      </c>
      <c r="J12" s="3">
        <v>14401</v>
      </c>
      <c r="K12" s="4"/>
      <c r="L12" s="2">
        <v>4585</v>
      </c>
    </row>
    <row r="13" spans="1:12">
      <c r="A13" s="1" t="s">
        <v>20</v>
      </c>
      <c r="B13" s="1">
        <f t="shared" si="0"/>
        <v>695</v>
      </c>
      <c r="C13" s="3">
        <v>0</v>
      </c>
      <c r="D13" s="3">
        <v>1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  <c r="J13" s="3">
        <v>12401</v>
      </c>
      <c r="K13" s="4"/>
      <c r="L13" s="2">
        <v>5280</v>
      </c>
    </row>
    <row r="14" spans="1:12">
      <c r="A14" s="1" t="s">
        <v>21</v>
      </c>
      <c r="B14" s="1">
        <f t="shared" si="0"/>
        <v>1250</v>
      </c>
      <c r="C14" s="3">
        <v>0</v>
      </c>
      <c r="D14" s="3">
        <v>0</v>
      </c>
      <c r="E14" s="3">
        <v>0</v>
      </c>
      <c r="F14" s="3">
        <v>1</v>
      </c>
      <c r="G14" s="3">
        <v>1</v>
      </c>
      <c r="H14" s="3">
        <v>0</v>
      </c>
      <c r="I14" s="3">
        <v>1</v>
      </c>
      <c r="J14" s="3">
        <v>13901</v>
      </c>
      <c r="K14" s="4"/>
      <c r="L14" s="2">
        <v>6530</v>
      </c>
    </row>
    <row r="15" spans="1:12">
      <c r="A15" s="1" t="s">
        <v>22</v>
      </c>
      <c r="B15" s="1">
        <f t="shared" si="0"/>
        <v>230</v>
      </c>
      <c r="C15" s="3">
        <v>1</v>
      </c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11401</v>
      </c>
      <c r="K15" s="4"/>
      <c r="L15" s="2">
        <v>6760</v>
      </c>
    </row>
    <row r="16" spans="1:12">
      <c r="A16" s="1" t="s">
        <v>23</v>
      </c>
      <c r="B16" s="1">
        <f t="shared" si="0"/>
        <v>-50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1</v>
      </c>
      <c r="J16" s="3">
        <v>15901</v>
      </c>
      <c r="K16" s="4"/>
      <c r="L16" s="2">
        <v>6710</v>
      </c>
    </row>
    <row r="17" spans="1:12">
      <c r="A17" s="1" t="s">
        <v>24</v>
      </c>
      <c r="B17" s="1">
        <f t="shared" si="0"/>
        <v>-205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3">
        <v>15401</v>
      </c>
      <c r="K17" s="4"/>
      <c r="L17" s="2">
        <v>6505</v>
      </c>
    </row>
    <row r="18" spans="1:12">
      <c r="A18" s="1" t="s">
        <v>25</v>
      </c>
      <c r="B18" s="1">
        <f t="shared" si="0"/>
        <v>10</v>
      </c>
      <c r="C18" s="3">
        <v>1</v>
      </c>
      <c r="D18" s="3">
        <v>0</v>
      </c>
      <c r="E18" s="3">
        <v>1</v>
      </c>
      <c r="F18" s="3">
        <v>1</v>
      </c>
      <c r="G18" s="3">
        <v>0</v>
      </c>
      <c r="H18" s="3">
        <v>1</v>
      </c>
      <c r="I18" s="3">
        <v>0</v>
      </c>
      <c r="J18" s="3">
        <v>10401</v>
      </c>
      <c r="K18" s="4"/>
      <c r="L18" s="2">
        <v>6515</v>
      </c>
    </row>
    <row r="19" spans="1:12">
      <c r="A19" s="1" t="s">
        <v>26</v>
      </c>
      <c r="B19" s="1">
        <f t="shared" si="0"/>
        <v>-340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1</v>
      </c>
      <c r="J19" s="3">
        <v>12401</v>
      </c>
      <c r="K19" s="4"/>
      <c r="L19" s="2">
        <v>6175</v>
      </c>
    </row>
    <row r="20" spans="1:12">
      <c r="A20" s="1" t="s">
        <v>27</v>
      </c>
      <c r="B20" s="1">
        <f t="shared" si="0"/>
        <v>-155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1</v>
      </c>
      <c r="I20" s="3">
        <v>1</v>
      </c>
      <c r="J20" s="3">
        <v>10901</v>
      </c>
      <c r="K20" s="4"/>
      <c r="L20" s="2">
        <v>6020</v>
      </c>
    </row>
    <row r="21" spans="1:12">
      <c r="A21" s="1" t="s">
        <v>28</v>
      </c>
      <c r="B21" s="1">
        <f t="shared" si="0"/>
        <v>90</v>
      </c>
      <c r="C21" s="3">
        <v>1</v>
      </c>
      <c r="D21" s="3">
        <v>0</v>
      </c>
      <c r="E21" s="3">
        <v>1</v>
      </c>
      <c r="F21" s="3">
        <v>1</v>
      </c>
      <c r="G21" s="3">
        <v>1</v>
      </c>
      <c r="H21" s="3">
        <v>0</v>
      </c>
      <c r="I21" s="3">
        <v>0</v>
      </c>
      <c r="J21" s="3">
        <v>12901</v>
      </c>
      <c r="K21" s="4"/>
      <c r="L21" s="2">
        <v>6110</v>
      </c>
    </row>
    <row r="22" spans="1:12">
      <c r="A22" s="1" t="s">
        <v>29</v>
      </c>
      <c r="B22" s="1">
        <f t="shared" si="0"/>
        <v>35</v>
      </c>
      <c r="C22" s="3">
        <v>1</v>
      </c>
      <c r="D22" s="3">
        <v>0</v>
      </c>
      <c r="E22" s="3">
        <v>0</v>
      </c>
      <c r="F22" s="3">
        <v>1</v>
      </c>
      <c r="G22" s="3">
        <v>0</v>
      </c>
      <c r="H22" s="3">
        <v>1</v>
      </c>
      <c r="I22" s="3">
        <v>0</v>
      </c>
      <c r="J22" s="3">
        <v>10401</v>
      </c>
      <c r="K22" s="4"/>
      <c r="L22" s="2">
        <v>6145</v>
      </c>
    </row>
    <row r="23" spans="1:12">
      <c r="A23" s="1" t="s">
        <v>30</v>
      </c>
      <c r="B23" s="1">
        <f t="shared" si="0"/>
        <v>-555</v>
      </c>
      <c r="C23" s="3">
        <v>1</v>
      </c>
      <c r="D23" s="3">
        <v>1</v>
      </c>
      <c r="E23" s="3">
        <v>1</v>
      </c>
      <c r="F23" s="3">
        <v>0</v>
      </c>
      <c r="G23" s="3">
        <v>0</v>
      </c>
      <c r="H23" s="3">
        <v>1</v>
      </c>
      <c r="I23" s="3">
        <v>0</v>
      </c>
      <c r="J23" s="3">
        <v>14901</v>
      </c>
      <c r="K23" s="4"/>
      <c r="L23" s="2">
        <v>5590</v>
      </c>
    </row>
    <row r="24" s="2" customFormat="1" spans="1:12">
      <c r="A24" s="1" t="s">
        <v>31</v>
      </c>
      <c r="B24" s="1">
        <f t="shared" si="0"/>
        <v>140</v>
      </c>
      <c r="C24" s="3">
        <v>1</v>
      </c>
      <c r="D24" s="3">
        <v>0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14901</v>
      </c>
      <c r="K24" s="4"/>
      <c r="L24" s="2">
        <v>5730</v>
      </c>
    </row>
    <row r="25" spans="1:12">
      <c r="A25" s="1" t="s">
        <v>32</v>
      </c>
      <c r="B25" s="1">
        <f t="shared" si="0"/>
        <v>595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12901</v>
      </c>
      <c r="K25" s="4"/>
      <c r="L25" s="2">
        <v>6325</v>
      </c>
    </row>
    <row r="26" spans="1:12">
      <c r="A26" s="1" t="s">
        <v>33</v>
      </c>
      <c r="B26" s="1">
        <f t="shared" si="0"/>
        <v>-280</v>
      </c>
      <c r="C26" s="3">
        <v>1</v>
      </c>
      <c r="D26" s="3">
        <v>0</v>
      </c>
      <c r="E26" s="3">
        <v>1</v>
      </c>
      <c r="F26" s="3">
        <v>1</v>
      </c>
      <c r="G26" s="3">
        <v>0</v>
      </c>
      <c r="H26" s="3">
        <v>1</v>
      </c>
      <c r="I26" s="3">
        <v>0</v>
      </c>
      <c r="J26" s="3">
        <v>13901</v>
      </c>
      <c r="K26" s="4"/>
      <c r="L26" s="2">
        <v>6045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zoomScale="115" zoomScaleNormal="115" topLeftCell="A7" workbookViewId="0">
      <selection activeCell="B3" sqref="B3:B27"/>
    </sheetView>
  </sheetViews>
  <sheetFormatPr defaultColWidth="9" defaultRowHeight="13.5" outlineLevelCol="3"/>
  <cols>
    <col min="1" max="3" width="9" style="5"/>
    <col min="4" max="4" width="11.7333333333333" style="5" customWidth="1"/>
    <col min="5" max="16384" width="9" style="5"/>
  </cols>
  <sheetData>
    <row r="1" spans="2:4">
      <c r="B1" s="5" t="s">
        <v>34</v>
      </c>
      <c r="C1" s="5" t="b">
        <v>1</v>
      </c>
      <c r="D1" s="5" t="s">
        <v>35</v>
      </c>
    </row>
    <row r="2" spans="3:4">
      <c r="C2" s="5">
        <v>8000</v>
      </c>
      <c r="D2" s="5">
        <v>8000</v>
      </c>
    </row>
    <row r="3" spans="1:4">
      <c r="A3" s="5" t="s">
        <v>9</v>
      </c>
      <c r="B3" s="1">
        <v>-245</v>
      </c>
      <c r="C3" s="5">
        <f>C2+B3-25</f>
        <v>7730</v>
      </c>
      <c r="D3" s="5">
        <v>7842</v>
      </c>
    </row>
    <row r="4" spans="1:4">
      <c r="A4" s="5" t="s">
        <v>10</v>
      </c>
      <c r="B4" s="1">
        <v>-665</v>
      </c>
      <c r="C4" s="5">
        <f t="shared" ref="C4:C27" si="0">C3+B4-25</f>
        <v>7040</v>
      </c>
      <c r="D4" s="5">
        <v>7513</v>
      </c>
    </row>
    <row r="5" spans="1:4">
      <c r="A5" s="5" t="s">
        <v>11</v>
      </c>
      <c r="B5" s="1">
        <v>-125</v>
      </c>
      <c r="C5" s="5">
        <f t="shared" si="0"/>
        <v>6890</v>
      </c>
      <c r="D5" s="5">
        <v>7159</v>
      </c>
    </row>
    <row r="6" spans="1:4">
      <c r="A6" s="5" t="s">
        <v>12</v>
      </c>
      <c r="B6" s="1">
        <v>-980</v>
      </c>
      <c r="C6" s="5">
        <f t="shared" si="0"/>
        <v>5885</v>
      </c>
      <c r="D6" s="5">
        <v>6666</v>
      </c>
    </row>
    <row r="7" spans="1:4">
      <c r="A7" s="5" t="s">
        <v>13</v>
      </c>
      <c r="B7" s="1">
        <v>20</v>
      </c>
      <c r="C7" s="5">
        <f t="shared" si="0"/>
        <v>5880</v>
      </c>
      <c r="D7" s="5">
        <v>6528</v>
      </c>
    </row>
    <row r="8" spans="1:4">
      <c r="A8" s="5" t="s">
        <v>14</v>
      </c>
      <c r="B8" s="1">
        <v>-15</v>
      </c>
      <c r="C8" s="5">
        <f t="shared" si="0"/>
        <v>5840</v>
      </c>
      <c r="D8" s="5">
        <v>6544</v>
      </c>
    </row>
    <row r="9" spans="1:4">
      <c r="A9" s="5" t="s">
        <v>15</v>
      </c>
      <c r="B9" s="1">
        <v>-750</v>
      </c>
      <c r="C9" s="5">
        <f t="shared" si="0"/>
        <v>5065</v>
      </c>
      <c r="D9" s="5">
        <v>5824</v>
      </c>
    </row>
    <row r="10" spans="1:4">
      <c r="A10" s="5" t="s">
        <v>16</v>
      </c>
      <c r="B10" s="1">
        <v>-265</v>
      </c>
      <c r="C10" s="5">
        <f t="shared" si="0"/>
        <v>4775</v>
      </c>
      <c r="D10" s="5">
        <v>5615</v>
      </c>
    </row>
    <row r="11" spans="1:4">
      <c r="A11" s="5" t="s">
        <v>17</v>
      </c>
      <c r="B11" s="1">
        <v>-390</v>
      </c>
      <c r="C11" s="5">
        <f t="shared" si="0"/>
        <v>4360</v>
      </c>
      <c r="D11" s="5">
        <v>5248</v>
      </c>
    </row>
    <row r="12" spans="1:4">
      <c r="A12" s="5" t="s">
        <v>18</v>
      </c>
      <c r="B12" s="1">
        <v>-155</v>
      </c>
      <c r="C12" s="5">
        <f t="shared" si="0"/>
        <v>4180</v>
      </c>
      <c r="D12" s="5">
        <v>4701</v>
      </c>
    </row>
    <row r="13" spans="1:4">
      <c r="A13" s="5" t="s">
        <v>19</v>
      </c>
      <c r="B13" s="1">
        <v>155</v>
      </c>
      <c r="C13" s="5">
        <f t="shared" si="0"/>
        <v>4310</v>
      </c>
      <c r="D13" s="5">
        <v>4619</v>
      </c>
    </row>
    <row r="14" spans="1:4">
      <c r="A14" s="5" t="s">
        <v>20</v>
      </c>
      <c r="B14" s="1">
        <v>695</v>
      </c>
      <c r="C14" s="5">
        <f t="shared" si="0"/>
        <v>4980</v>
      </c>
      <c r="D14" s="5">
        <v>5282</v>
      </c>
    </row>
    <row r="15" spans="1:4">
      <c r="A15" s="5" t="s">
        <v>21</v>
      </c>
      <c r="B15" s="1">
        <v>1250</v>
      </c>
      <c r="C15" s="5">
        <f t="shared" si="0"/>
        <v>6205</v>
      </c>
      <c r="D15" s="5">
        <v>6514</v>
      </c>
    </row>
    <row r="16" spans="1:4">
      <c r="A16" s="5" t="s">
        <v>22</v>
      </c>
      <c r="B16" s="1">
        <v>230</v>
      </c>
      <c r="C16" s="5">
        <f t="shared" si="0"/>
        <v>6410</v>
      </c>
      <c r="D16" s="5">
        <v>6744</v>
      </c>
    </row>
    <row r="17" spans="1:4">
      <c r="A17" s="5" t="s">
        <v>23</v>
      </c>
      <c r="B17" s="1">
        <v>-50</v>
      </c>
      <c r="C17" s="5">
        <f t="shared" si="0"/>
        <v>6335</v>
      </c>
      <c r="D17" s="5">
        <v>6563</v>
      </c>
    </row>
    <row r="18" spans="1:4">
      <c r="A18" s="5" t="s">
        <v>24</v>
      </c>
      <c r="B18" s="1">
        <v>-205</v>
      </c>
      <c r="C18" s="5">
        <f t="shared" si="0"/>
        <v>6105</v>
      </c>
      <c r="D18" s="5">
        <v>6431</v>
      </c>
    </row>
    <row r="19" spans="1:4">
      <c r="A19" s="5" t="s">
        <v>25</v>
      </c>
      <c r="B19" s="1">
        <v>10</v>
      </c>
      <c r="C19" s="5">
        <f t="shared" si="0"/>
        <v>6090</v>
      </c>
      <c r="D19" s="5">
        <v>6149</v>
      </c>
    </row>
    <row r="20" spans="1:4">
      <c r="A20" s="5" t="s">
        <v>26</v>
      </c>
      <c r="B20" s="1">
        <v>-340</v>
      </c>
      <c r="C20" s="5">
        <f t="shared" si="0"/>
        <v>5725</v>
      </c>
      <c r="D20" s="5">
        <v>5774</v>
      </c>
    </row>
    <row r="21" spans="1:4">
      <c r="A21" s="5" t="s">
        <v>27</v>
      </c>
      <c r="B21" s="1">
        <v>-155</v>
      </c>
      <c r="C21" s="5">
        <f t="shared" si="0"/>
        <v>5545</v>
      </c>
      <c r="D21" s="5">
        <v>5392</v>
      </c>
    </row>
    <row r="22" spans="1:4">
      <c r="A22" s="5" t="s">
        <v>28</v>
      </c>
      <c r="B22" s="1">
        <v>90</v>
      </c>
      <c r="C22" s="5">
        <f t="shared" si="0"/>
        <v>5610</v>
      </c>
      <c r="D22" s="5">
        <v>5173</v>
      </c>
    </row>
    <row r="23" spans="1:4">
      <c r="A23" s="5" t="s">
        <v>29</v>
      </c>
      <c r="B23" s="1">
        <v>35</v>
      </c>
      <c r="C23" s="5">
        <f t="shared" si="0"/>
        <v>5620</v>
      </c>
      <c r="D23" s="5">
        <v>5347</v>
      </c>
    </row>
    <row r="24" spans="1:4">
      <c r="A24" s="5" t="s">
        <v>30</v>
      </c>
      <c r="B24" s="1">
        <v>-555</v>
      </c>
      <c r="C24" s="5">
        <f t="shared" si="0"/>
        <v>5040</v>
      </c>
      <c r="D24" s="5">
        <v>4869</v>
      </c>
    </row>
    <row r="25" spans="1:4">
      <c r="A25" s="5" t="s">
        <v>31</v>
      </c>
      <c r="B25" s="1">
        <v>140</v>
      </c>
      <c r="C25" s="5">
        <f t="shared" si="0"/>
        <v>5155</v>
      </c>
      <c r="D25" s="5">
        <v>5079</v>
      </c>
    </row>
    <row r="26" spans="1:4">
      <c r="A26" s="5" t="s">
        <v>32</v>
      </c>
      <c r="B26" s="1">
        <v>595</v>
      </c>
      <c r="C26" s="5">
        <f t="shared" si="0"/>
        <v>5725</v>
      </c>
      <c r="D26" s="5">
        <v>5508</v>
      </c>
    </row>
    <row r="27" spans="1:4">
      <c r="A27" s="5" t="s">
        <v>33</v>
      </c>
      <c r="B27" s="1">
        <v>-280</v>
      </c>
      <c r="C27" s="5">
        <f t="shared" si="0"/>
        <v>5420</v>
      </c>
      <c r="D27" s="5">
        <v>5420</v>
      </c>
    </row>
  </sheetData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zoomScale="130" zoomScaleNormal="130" workbookViewId="0">
      <selection activeCell="C4" sqref="C4"/>
    </sheetView>
  </sheetViews>
  <sheetFormatPr defaultColWidth="9" defaultRowHeight="13.5" outlineLevelRow="3" outlineLevelCol="2"/>
  <sheetData>
    <row r="1" spans="2:3">
      <c r="B1" t="s">
        <v>36</v>
      </c>
      <c r="C1" t="s">
        <v>37</v>
      </c>
    </row>
    <row r="2" spans="1:3">
      <c r="A2" t="s">
        <v>38</v>
      </c>
      <c r="B2">
        <v>5</v>
      </c>
      <c r="C2">
        <f>125*(B2)/25</f>
        <v>25</v>
      </c>
    </row>
    <row r="3" spans="1:3">
      <c r="A3" t="s">
        <v>39</v>
      </c>
      <c r="B3">
        <v>15</v>
      </c>
      <c r="C3">
        <f>125*(B3)/25</f>
        <v>75</v>
      </c>
    </row>
    <row r="4" spans="1:3">
      <c r="A4" t="s">
        <v>40</v>
      </c>
      <c r="B4">
        <f>SUM(B2:B3)</f>
        <v>20</v>
      </c>
      <c r="C4">
        <f>125*(B4)/25</f>
        <v>100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tabSelected="1" zoomScale="190" zoomScaleNormal="190" workbookViewId="0">
      <selection activeCell="H6" sqref="H6"/>
    </sheetView>
  </sheetViews>
  <sheetFormatPr defaultColWidth="9" defaultRowHeight="13.5" outlineLevelRow="2" outlineLevelCol="7"/>
  <cols>
    <col min="1" max="1" width="10.375" style="6"/>
    <col min="2" max="2" width="9.375" style="6"/>
    <col min="3" max="3" width="9" style="6"/>
    <col min="4" max="5" width="9.375" style="6"/>
    <col min="6" max="6" width="11.9083333333333" style="6" customWidth="1"/>
    <col min="7" max="7" width="9.375" style="6"/>
    <col min="8" max="8" width="10.375" style="6"/>
    <col min="9" max="16384" width="9" style="6"/>
  </cols>
  <sheetData>
    <row r="1" spans="1:8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</row>
    <row r="2" spans="1:8">
      <c r="A2" s="7">
        <v>-816.7716</v>
      </c>
      <c r="B2" s="7">
        <v>1077.9236</v>
      </c>
      <c r="C2" s="7">
        <v>561.8667</v>
      </c>
      <c r="D2" s="7">
        <v>455.758</v>
      </c>
      <c r="E2" s="7">
        <v>116.0912</v>
      </c>
      <c r="F2" s="7">
        <v>75.9014</v>
      </c>
      <c r="G2" s="6">
        <v>138.0911</v>
      </c>
      <c r="H2" s="6">
        <v>-554.1744</v>
      </c>
    </row>
    <row r="3" spans="1:1">
      <c r="A3" s="6">
        <f>A2+25</f>
        <v>-791.7716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zoomScale="175" zoomScaleNormal="175" workbookViewId="0">
      <selection activeCell="C6" sqref="C6"/>
    </sheetView>
  </sheetViews>
  <sheetFormatPr defaultColWidth="9" defaultRowHeight="13.5" outlineLevelRow="4" outlineLevelCol="1"/>
  <sheetData>
    <row r="1" spans="1:2">
      <c r="A1" t="s">
        <v>41</v>
      </c>
      <c r="B1">
        <v>0</v>
      </c>
    </row>
    <row r="2" spans="1:2">
      <c r="A2" t="s">
        <v>42</v>
      </c>
      <c r="B2">
        <v>0.01</v>
      </c>
    </row>
    <row r="3" spans="1:2">
      <c r="A3" t="s">
        <v>43</v>
      </c>
      <c r="B3">
        <v>0.05</v>
      </c>
    </row>
    <row r="5" spans="1:2">
      <c r="A5" s="5" t="s">
        <v>44</v>
      </c>
      <c r="B5" s="5"/>
    </row>
  </sheetData>
  <mergeCells count="1">
    <mergeCell ref="A5:B5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1"/>
  <sheetViews>
    <sheetView zoomScale="115" zoomScaleNormal="115" topLeftCell="A10" workbookViewId="0">
      <selection activeCell="B2" sqref="B2:B26"/>
    </sheetView>
  </sheetViews>
  <sheetFormatPr defaultColWidth="9" defaultRowHeight="13.5"/>
  <cols>
    <col min="1" max="1" width="9" style="2"/>
    <col min="2" max="2" width="13.75" style="2"/>
    <col min="3" max="16384" width="9" style="2"/>
  </cols>
  <sheetData>
    <row r="1" s="1" customFormat="1" spans="2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/>
      <c r="L1" s="2">
        <v>8000</v>
      </c>
      <c r="M1" s="2"/>
    </row>
    <row r="2" s="1" customFormat="1" spans="1:13">
      <c r="A2" s="1" t="s">
        <v>9</v>
      </c>
      <c r="B2" s="1">
        <v>-245</v>
      </c>
      <c r="C2" s="3">
        <v>1</v>
      </c>
      <c r="D2" s="3">
        <v>0</v>
      </c>
      <c r="E2" s="3">
        <v>1</v>
      </c>
      <c r="F2" s="3">
        <v>0</v>
      </c>
      <c r="G2" s="3">
        <v>1</v>
      </c>
      <c r="H2" s="3">
        <v>1</v>
      </c>
      <c r="I2" s="3">
        <v>1</v>
      </c>
      <c r="J2" s="3">
        <v>14401</v>
      </c>
      <c r="K2" s="4"/>
      <c r="L2" s="2">
        <v>7755</v>
      </c>
      <c r="M2" s="2"/>
    </row>
    <row r="3" s="1" customFormat="1" spans="1:13">
      <c r="A3" s="1" t="s">
        <v>10</v>
      </c>
      <c r="B3" s="1">
        <v>-665</v>
      </c>
      <c r="C3" s="3">
        <v>1</v>
      </c>
      <c r="D3" s="3">
        <v>0</v>
      </c>
      <c r="E3" s="3">
        <v>1</v>
      </c>
      <c r="F3" s="3">
        <v>1</v>
      </c>
      <c r="G3" s="3">
        <v>1</v>
      </c>
      <c r="H3" s="3">
        <v>0</v>
      </c>
      <c r="I3" s="3">
        <v>1</v>
      </c>
      <c r="J3" s="3">
        <v>13401</v>
      </c>
      <c r="K3" s="4"/>
      <c r="L3" s="2">
        <v>7090</v>
      </c>
      <c r="M3" s="2"/>
    </row>
    <row r="4" s="1" customFormat="1" spans="1:13">
      <c r="A4" s="1" t="s">
        <v>11</v>
      </c>
      <c r="B4" s="1">
        <v>-125</v>
      </c>
      <c r="C4" s="3">
        <v>1</v>
      </c>
      <c r="D4" s="3">
        <v>1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11401</v>
      </c>
      <c r="K4" s="4"/>
      <c r="L4" s="2">
        <v>6965</v>
      </c>
      <c r="M4" s="2"/>
    </row>
    <row r="5" s="1" customFormat="1" spans="1:13">
      <c r="A5" s="1" t="s">
        <v>12</v>
      </c>
      <c r="B5" s="1">
        <v>-980</v>
      </c>
      <c r="C5" s="3">
        <v>1</v>
      </c>
      <c r="D5" s="3">
        <v>1</v>
      </c>
      <c r="E5" s="3">
        <v>0</v>
      </c>
      <c r="F5" s="3">
        <v>0</v>
      </c>
      <c r="G5" s="3">
        <v>0</v>
      </c>
      <c r="H5" s="3">
        <v>0</v>
      </c>
      <c r="I5" s="3">
        <v>1</v>
      </c>
      <c r="J5" s="3">
        <v>8901</v>
      </c>
      <c r="K5" s="4"/>
      <c r="L5" s="2">
        <v>5985</v>
      </c>
      <c r="M5" s="2"/>
    </row>
    <row r="6" s="1" customFormat="1" spans="1:13">
      <c r="A6" s="1" t="s">
        <v>13</v>
      </c>
      <c r="B6" s="1">
        <v>20</v>
      </c>
      <c r="C6" s="3">
        <v>1</v>
      </c>
      <c r="D6" s="3">
        <v>0</v>
      </c>
      <c r="E6" s="3">
        <v>1</v>
      </c>
      <c r="F6" s="3">
        <v>0</v>
      </c>
      <c r="G6" s="3">
        <v>0</v>
      </c>
      <c r="H6" s="3">
        <v>1</v>
      </c>
      <c r="I6" s="3">
        <v>1</v>
      </c>
      <c r="J6" s="3">
        <v>13401</v>
      </c>
      <c r="K6" s="4"/>
      <c r="L6" s="2">
        <v>6005</v>
      </c>
      <c r="M6" s="2"/>
    </row>
    <row r="7" s="1" customFormat="1" spans="1:13">
      <c r="A7" s="1" t="s">
        <v>14</v>
      </c>
      <c r="B7" s="1">
        <v>-15</v>
      </c>
      <c r="C7" s="3">
        <v>1</v>
      </c>
      <c r="D7" s="3">
        <v>0</v>
      </c>
      <c r="E7" s="3">
        <v>0</v>
      </c>
      <c r="F7" s="3">
        <v>1</v>
      </c>
      <c r="G7" s="3">
        <v>1</v>
      </c>
      <c r="H7" s="3">
        <v>0</v>
      </c>
      <c r="I7" s="3">
        <v>1</v>
      </c>
      <c r="J7" s="3">
        <v>11401</v>
      </c>
      <c r="K7" s="4"/>
      <c r="L7" s="2">
        <v>5990</v>
      </c>
      <c r="M7" s="2"/>
    </row>
    <row r="8" s="1" customFormat="1" spans="1:13">
      <c r="A8" s="1" t="s">
        <v>15</v>
      </c>
      <c r="B8" s="1">
        <v>-750</v>
      </c>
      <c r="C8" s="3">
        <v>1</v>
      </c>
      <c r="D8" s="3">
        <v>1</v>
      </c>
      <c r="E8" s="3">
        <v>1</v>
      </c>
      <c r="F8" s="3">
        <v>0</v>
      </c>
      <c r="G8" s="3">
        <v>1</v>
      </c>
      <c r="H8" s="3">
        <v>1</v>
      </c>
      <c r="I8" s="3">
        <v>0</v>
      </c>
      <c r="J8" s="3">
        <v>11901</v>
      </c>
      <c r="K8" s="4"/>
      <c r="L8" s="2">
        <v>5240</v>
      </c>
      <c r="M8" s="2"/>
    </row>
    <row r="9" s="1" customFormat="1" spans="1:13">
      <c r="A9" s="1" t="s">
        <v>16</v>
      </c>
      <c r="B9" s="1">
        <v>-265</v>
      </c>
      <c r="C9" s="3">
        <v>1</v>
      </c>
      <c r="D9" s="3">
        <v>1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12901</v>
      </c>
      <c r="K9" s="4"/>
      <c r="L9" s="2">
        <v>4975</v>
      </c>
      <c r="M9" s="2"/>
    </row>
    <row r="10" s="1" customFormat="1" spans="1:13">
      <c r="A10" s="1" t="s">
        <v>17</v>
      </c>
      <c r="B10" s="1">
        <v>-390</v>
      </c>
      <c r="C10" s="3">
        <v>1</v>
      </c>
      <c r="D10" s="3">
        <v>1</v>
      </c>
      <c r="E10" s="3">
        <v>1</v>
      </c>
      <c r="F10" s="3">
        <v>0</v>
      </c>
      <c r="G10" s="3">
        <v>0</v>
      </c>
      <c r="H10" s="3">
        <v>1</v>
      </c>
      <c r="I10" s="3">
        <v>0</v>
      </c>
      <c r="J10" s="3">
        <v>16901</v>
      </c>
      <c r="K10" s="4"/>
      <c r="L10" s="2">
        <v>4585</v>
      </c>
      <c r="M10" s="2"/>
    </row>
    <row r="11" s="1" customFormat="1" spans="1:13">
      <c r="A11" s="1" t="s">
        <v>18</v>
      </c>
      <c r="B11" s="1">
        <v>-155</v>
      </c>
      <c r="C11" s="3">
        <v>1</v>
      </c>
      <c r="D11" s="3">
        <v>1</v>
      </c>
      <c r="E11" s="3">
        <v>0</v>
      </c>
      <c r="F11" s="3">
        <v>1</v>
      </c>
      <c r="G11" s="3">
        <v>1</v>
      </c>
      <c r="H11" s="3">
        <v>0</v>
      </c>
      <c r="I11" s="3">
        <v>1</v>
      </c>
      <c r="J11" s="3">
        <v>11401</v>
      </c>
      <c r="K11" s="4"/>
      <c r="L11" s="2">
        <v>4430</v>
      </c>
      <c r="M11" s="2"/>
    </row>
    <row r="12" s="1" customFormat="1" spans="1:13">
      <c r="A12" s="1" t="s">
        <v>19</v>
      </c>
      <c r="B12" s="1">
        <v>155</v>
      </c>
      <c r="C12" s="3">
        <v>1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1</v>
      </c>
      <c r="J12" s="3">
        <v>14401</v>
      </c>
      <c r="K12" s="4"/>
      <c r="L12" s="2">
        <v>4585</v>
      </c>
      <c r="M12" s="2"/>
    </row>
    <row r="13" s="1" customFormat="1" spans="1:13">
      <c r="A13" s="1" t="s">
        <v>20</v>
      </c>
      <c r="B13" s="1">
        <v>695</v>
      </c>
      <c r="C13" s="3">
        <v>0</v>
      </c>
      <c r="D13" s="3">
        <v>1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  <c r="J13" s="3">
        <v>12401</v>
      </c>
      <c r="K13" s="4"/>
      <c r="L13" s="2">
        <v>5280</v>
      </c>
      <c r="M13" s="2"/>
    </row>
    <row r="14" s="1" customFormat="1" spans="1:13">
      <c r="A14" s="1" t="s">
        <v>21</v>
      </c>
      <c r="B14" s="1">
        <v>1250</v>
      </c>
      <c r="C14" s="3">
        <v>0</v>
      </c>
      <c r="D14" s="3">
        <v>0</v>
      </c>
      <c r="E14" s="3">
        <v>0</v>
      </c>
      <c r="F14" s="3">
        <v>1</v>
      </c>
      <c r="G14" s="3">
        <v>1</v>
      </c>
      <c r="H14" s="3">
        <v>0</v>
      </c>
      <c r="I14" s="3">
        <v>1</v>
      </c>
      <c r="J14" s="3">
        <v>13901</v>
      </c>
      <c r="K14" s="4"/>
      <c r="L14" s="2">
        <v>6530</v>
      </c>
      <c r="M14" s="2"/>
    </row>
    <row r="15" s="1" customFormat="1" spans="1:13">
      <c r="A15" s="1" t="s">
        <v>22</v>
      </c>
      <c r="B15" s="1">
        <v>230</v>
      </c>
      <c r="C15" s="3">
        <v>1</v>
      </c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11401</v>
      </c>
      <c r="K15" s="4"/>
      <c r="L15" s="2">
        <v>6760</v>
      </c>
      <c r="M15" s="2"/>
    </row>
    <row r="16" s="1" customFormat="1" spans="1:13">
      <c r="A16" s="1" t="s">
        <v>23</v>
      </c>
      <c r="B16" s="1">
        <v>-50</v>
      </c>
      <c r="C16" s="3">
        <v>1</v>
      </c>
      <c r="D16" s="3">
        <v>1</v>
      </c>
      <c r="E16" s="3">
        <v>0</v>
      </c>
      <c r="F16" s="3">
        <v>0</v>
      </c>
      <c r="G16" s="3">
        <v>1</v>
      </c>
      <c r="H16" s="3">
        <v>0</v>
      </c>
      <c r="I16" s="3">
        <v>1</v>
      </c>
      <c r="J16" s="3">
        <v>15901</v>
      </c>
      <c r="K16" s="4"/>
      <c r="L16" s="2">
        <v>6710</v>
      </c>
      <c r="M16" s="2"/>
    </row>
    <row r="17" s="1" customFormat="1" spans="1:13">
      <c r="A17" s="1" t="s">
        <v>24</v>
      </c>
      <c r="B17" s="1">
        <v>-205</v>
      </c>
      <c r="C17" s="3">
        <v>1</v>
      </c>
      <c r="D17" s="3">
        <v>1</v>
      </c>
      <c r="E17" s="3">
        <v>0</v>
      </c>
      <c r="F17" s="3">
        <v>0</v>
      </c>
      <c r="G17" s="3">
        <v>0</v>
      </c>
      <c r="H17" s="3">
        <v>0</v>
      </c>
      <c r="I17" s="3">
        <v>1</v>
      </c>
      <c r="J17" s="3">
        <v>15401</v>
      </c>
      <c r="K17" s="4"/>
      <c r="L17" s="2">
        <v>6505</v>
      </c>
      <c r="M17" s="2"/>
    </row>
    <row r="18" s="1" customFormat="1" spans="1:13">
      <c r="A18" s="1" t="s">
        <v>25</v>
      </c>
      <c r="B18" s="1">
        <v>10</v>
      </c>
      <c r="C18" s="3">
        <v>1</v>
      </c>
      <c r="D18" s="3">
        <v>0</v>
      </c>
      <c r="E18" s="3">
        <v>1</v>
      </c>
      <c r="F18" s="3">
        <v>1</v>
      </c>
      <c r="G18" s="3">
        <v>0</v>
      </c>
      <c r="H18" s="3">
        <v>1</v>
      </c>
      <c r="I18" s="3">
        <v>0</v>
      </c>
      <c r="J18" s="3">
        <v>10401</v>
      </c>
      <c r="K18" s="4"/>
      <c r="L18" s="2">
        <v>6515</v>
      </c>
      <c r="M18" s="2"/>
    </row>
    <row r="19" s="1" customFormat="1" spans="1:13">
      <c r="A19" s="1" t="s">
        <v>26</v>
      </c>
      <c r="B19" s="1">
        <v>-340</v>
      </c>
      <c r="C19" s="3">
        <v>1</v>
      </c>
      <c r="D19" s="3">
        <v>1</v>
      </c>
      <c r="E19" s="3">
        <v>0</v>
      </c>
      <c r="F19" s="3">
        <v>0</v>
      </c>
      <c r="G19" s="3">
        <v>1</v>
      </c>
      <c r="H19" s="3">
        <v>1</v>
      </c>
      <c r="I19" s="3">
        <v>1</v>
      </c>
      <c r="J19" s="3">
        <v>12401</v>
      </c>
      <c r="K19" s="4"/>
      <c r="L19" s="2">
        <v>6175</v>
      </c>
      <c r="M19" s="2"/>
    </row>
    <row r="20" s="1" customFormat="1" spans="1:13">
      <c r="A20" s="1" t="s">
        <v>27</v>
      </c>
      <c r="B20" s="1">
        <v>-155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1</v>
      </c>
      <c r="I20" s="3">
        <v>1</v>
      </c>
      <c r="J20" s="3">
        <v>10901</v>
      </c>
      <c r="K20" s="4"/>
      <c r="L20" s="2">
        <v>6020</v>
      </c>
      <c r="M20" s="2"/>
    </row>
    <row r="21" s="1" customFormat="1" spans="1:13">
      <c r="A21" s="1" t="s">
        <v>28</v>
      </c>
      <c r="B21" s="1">
        <v>90</v>
      </c>
      <c r="C21" s="3">
        <v>1</v>
      </c>
      <c r="D21" s="3">
        <v>0</v>
      </c>
      <c r="E21" s="3">
        <v>1</v>
      </c>
      <c r="F21" s="3">
        <v>1</v>
      </c>
      <c r="G21" s="3">
        <v>1</v>
      </c>
      <c r="H21" s="3">
        <v>0</v>
      </c>
      <c r="I21" s="3">
        <v>0</v>
      </c>
      <c r="J21" s="3">
        <v>12901</v>
      </c>
      <c r="K21" s="4"/>
      <c r="L21" s="2">
        <v>6110</v>
      </c>
      <c r="M21" s="2"/>
    </row>
    <row r="22" s="1" customFormat="1" spans="1:13">
      <c r="A22" s="1" t="s">
        <v>29</v>
      </c>
      <c r="B22" s="1">
        <v>35</v>
      </c>
      <c r="C22" s="3">
        <v>1</v>
      </c>
      <c r="D22" s="3">
        <v>0</v>
      </c>
      <c r="E22" s="3">
        <v>0</v>
      </c>
      <c r="F22" s="3">
        <v>1</v>
      </c>
      <c r="G22" s="3">
        <v>0</v>
      </c>
      <c r="H22" s="3">
        <v>1</v>
      </c>
      <c r="I22" s="3">
        <v>0</v>
      </c>
      <c r="J22" s="3">
        <v>10401</v>
      </c>
      <c r="K22" s="4"/>
      <c r="L22" s="2">
        <v>6145</v>
      </c>
      <c r="M22" s="2"/>
    </row>
    <row r="23" s="1" customFormat="1" spans="1:13">
      <c r="A23" s="1" t="s">
        <v>30</v>
      </c>
      <c r="B23" s="1">
        <v>-555</v>
      </c>
      <c r="C23" s="3">
        <v>1</v>
      </c>
      <c r="D23" s="3">
        <v>1</v>
      </c>
      <c r="E23" s="3">
        <v>1</v>
      </c>
      <c r="F23" s="3">
        <v>0</v>
      </c>
      <c r="G23" s="3">
        <v>0</v>
      </c>
      <c r="H23" s="3">
        <v>1</v>
      </c>
      <c r="I23" s="3">
        <v>0</v>
      </c>
      <c r="J23" s="3">
        <v>14901</v>
      </c>
      <c r="K23" s="4"/>
      <c r="L23" s="2">
        <v>5590</v>
      </c>
      <c r="M23" s="2"/>
    </row>
    <row r="24" s="2" customFormat="1" spans="1:12">
      <c r="A24" s="1" t="s">
        <v>31</v>
      </c>
      <c r="B24" s="1">
        <v>140</v>
      </c>
      <c r="C24" s="3">
        <v>1</v>
      </c>
      <c r="D24" s="3">
        <v>0</v>
      </c>
      <c r="E24" s="3">
        <v>0</v>
      </c>
      <c r="F24" s="3">
        <v>1</v>
      </c>
      <c r="G24" s="3">
        <v>1</v>
      </c>
      <c r="H24" s="3">
        <v>0</v>
      </c>
      <c r="I24" s="3">
        <v>1</v>
      </c>
      <c r="J24" s="3">
        <v>14901</v>
      </c>
      <c r="K24" s="4"/>
      <c r="L24" s="2">
        <v>5730</v>
      </c>
    </row>
    <row r="25" s="1" customFormat="1" spans="1:13">
      <c r="A25" s="1" t="s">
        <v>32</v>
      </c>
      <c r="B25" s="1">
        <v>595</v>
      </c>
      <c r="C25" s="3">
        <v>1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12901</v>
      </c>
      <c r="K25" s="4"/>
      <c r="L25" s="2">
        <v>6325</v>
      </c>
      <c r="M25" s="2"/>
    </row>
    <row r="26" s="1" customFormat="1" spans="1:13">
      <c r="A26" s="1" t="s">
        <v>33</v>
      </c>
      <c r="B26" s="1">
        <v>-280</v>
      </c>
      <c r="C26" s="3">
        <v>1</v>
      </c>
      <c r="D26" s="3">
        <v>0</v>
      </c>
      <c r="E26" s="3">
        <v>1</v>
      </c>
      <c r="F26" s="3">
        <v>1</v>
      </c>
      <c r="G26" s="3">
        <v>0</v>
      </c>
      <c r="H26" s="3">
        <v>1</v>
      </c>
      <c r="I26" s="3">
        <v>0</v>
      </c>
      <c r="J26" s="3">
        <v>13901</v>
      </c>
      <c r="K26" s="4"/>
      <c r="L26" s="2">
        <v>6045</v>
      </c>
      <c r="M26" s="2"/>
    </row>
    <row r="27" s="1" customFormat="1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="1" customFormat="1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="1" customFormat="1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="1" customFormat="1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="1" customFormat="1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="1" customFormat="1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="1" customFormat="1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="1" customFormat="1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="1" customFormat="1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="1" customFormat="1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="1" customFormat="1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="1" customFormat="1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="1" customFormat="1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="1" customFormat="1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="1" customFormat="1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="1" customFormat="1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="1" customFormat="1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="1" customFormat="1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="1" customFormat="1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="1" customFormat="1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="1" customFormat="1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="1" customFormat="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折线对比1</vt:lpstr>
      <vt:lpstr>矿工阳光消耗</vt:lpstr>
      <vt:lpstr>模型参数</vt:lpstr>
      <vt:lpstr>破阵率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2025-04-12T04:14:15Z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