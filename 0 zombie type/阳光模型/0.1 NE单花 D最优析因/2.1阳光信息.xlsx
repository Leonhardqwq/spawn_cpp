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40" windowHeight="15525" activeTab="3"/>
  </bookViews>
  <sheets>
    <sheet name="汇总" sheetId="4" r:id="rId1"/>
    <sheet name="折线对比1" sheetId="7" r:id="rId2"/>
    <sheet name="额外阳光消耗" sheetId="6" r:id="rId3"/>
    <sheet name="模型参数" sheetId="5" r:id="rId4"/>
    <sheet name="截图" sheetId="10" r:id="rId5"/>
  </sheets>
  <calcPr calcId="144525"/>
</workbook>
</file>

<file path=xl/sharedStrings.xml><?xml version="1.0" encoding="utf-8"?>
<sst xmlns="http://schemas.openxmlformats.org/spreadsheetml/2006/main" count="155" uniqueCount="63">
  <si>
    <t>flag</t>
  </si>
  <si>
    <t>Y</t>
  </si>
  <si>
    <t>路障</t>
  </si>
  <si>
    <t>撑杆</t>
  </si>
  <si>
    <t>铁桶</t>
  </si>
  <si>
    <t>读报</t>
  </si>
  <si>
    <t>铁门</t>
  </si>
  <si>
    <t>橄榄</t>
  </si>
  <si>
    <t>舞王</t>
  </si>
  <si>
    <t>潜水</t>
  </si>
  <si>
    <t>冰车</t>
  </si>
  <si>
    <t>海豚</t>
  </si>
  <si>
    <t>小丑</t>
  </si>
  <si>
    <t>气球</t>
  </si>
  <si>
    <t>矿工</t>
  </si>
  <si>
    <t>跳跳</t>
  </si>
  <si>
    <t>蹦极</t>
  </si>
  <si>
    <t>扶梯</t>
  </si>
  <si>
    <t>投篮</t>
  </si>
  <si>
    <t>白眼</t>
  </si>
  <si>
    <t>红眼</t>
  </si>
  <si>
    <t>权重和</t>
  </si>
  <si>
    <t>2002f</t>
  </si>
  <si>
    <t>2004f</t>
  </si>
  <si>
    <t>2006f</t>
  </si>
  <si>
    <t>2008f</t>
  </si>
  <si>
    <t>2010f</t>
  </si>
  <si>
    <t>2012f</t>
  </si>
  <si>
    <t>2014f</t>
  </si>
  <si>
    <t>2016f</t>
  </si>
  <si>
    <t>2018f</t>
  </si>
  <si>
    <t>2020f</t>
  </si>
  <si>
    <t>2022f</t>
  </si>
  <si>
    <t>2024f</t>
  </si>
  <si>
    <t>2026f</t>
  </si>
  <si>
    <t>2028f</t>
  </si>
  <si>
    <t>2030f</t>
  </si>
  <si>
    <t>2032f</t>
  </si>
  <si>
    <t>2034f</t>
  </si>
  <si>
    <t>2036f</t>
  </si>
  <si>
    <t>2038f</t>
  </si>
  <si>
    <t>2040f</t>
  </si>
  <si>
    <t>2042f</t>
  </si>
  <si>
    <t>2044f</t>
  </si>
  <si>
    <t>2046f</t>
  </si>
  <si>
    <t>2048f</t>
  </si>
  <si>
    <t>2050f</t>
  </si>
  <si>
    <t>dlt</t>
  </si>
  <si>
    <t>pred</t>
  </si>
  <si>
    <t>pred2</t>
  </si>
  <si>
    <t>个数</t>
  </si>
  <si>
    <t>均摊阳光</t>
  </si>
  <si>
    <t>瓜损</t>
  </si>
  <si>
    <t>曾损</t>
  </si>
  <si>
    <t>南瓜</t>
  </si>
  <si>
    <t>总共</t>
  </si>
  <si>
    <t>矿工南瓜</t>
  </si>
  <si>
    <t>最后</t>
  </si>
  <si>
    <t>中途</t>
  </si>
  <si>
    <t>总计</t>
  </si>
  <si>
    <t>sample 10</t>
  </si>
  <si>
    <t>sample all</t>
  </si>
  <si>
    <t>Y adj.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</si>
</sst>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0.5"/>
      <name val="Segoe UI"/>
      <charset val="134"/>
    </font>
    <font>
      <sz val="10.5"/>
      <name val="宋体"/>
      <charset val="134"/>
    </font>
    <font>
      <sz val="10.5"/>
      <name val="Segoe U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11" borderId="2" applyNumberFormat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"TRUE"</c:f>
              <c:strCache>
                <c:ptCount val="1"/>
                <c:pt idx="0">
                  <c:v>TRUE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折线对比1!$C$2:$C$12</c:f>
              <c:numCache>
                <c:formatCode>General</c:formatCode>
                <c:ptCount val="11"/>
                <c:pt idx="0">
                  <c:v>2000</c:v>
                </c:pt>
                <c:pt idx="1">
                  <c:v>2634.48</c:v>
                </c:pt>
                <c:pt idx="2">
                  <c:v>2093.96</c:v>
                </c:pt>
                <c:pt idx="3">
                  <c:v>3028.44</c:v>
                </c:pt>
                <c:pt idx="4">
                  <c:v>4112.92</c:v>
                </c:pt>
                <c:pt idx="5">
                  <c:v>4722.4</c:v>
                </c:pt>
                <c:pt idx="6">
                  <c:v>5006.88</c:v>
                </c:pt>
                <c:pt idx="7">
                  <c:v>4691.36</c:v>
                </c:pt>
                <c:pt idx="8">
                  <c:v>4250.84</c:v>
                </c:pt>
                <c:pt idx="9">
                  <c:v>3710.32</c:v>
                </c:pt>
                <c:pt idx="10">
                  <c:v>4294.8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"pred"</c:f>
              <c:strCache>
                <c:ptCount val="1"/>
                <c:pt idx="0">
                  <c:v>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折线对比1!$D$2:$D$12</c:f>
              <c:numCache>
                <c:formatCode>General</c:formatCode>
                <c:ptCount val="11"/>
                <c:pt idx="0">
                  <c:v>2000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折线对比1!$F$1</c:f>
              <c:strCache>
                <c:ptCount val="1"/>
                <c:pt idx="0">
                  <c:v>pred2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折线对比1!$F$2:$F$12</c:f>
              <c:numCache>
                <c:formatCode>General</c:formatCode>
                <c:ptCount val="11"/>
                <c:pt idx="0">
                  <c:v>2000</c:v>
                </c:pt>
                <c:pt idx="1">
                  <c:v>2423</c:v>
                </c:pt>
                <c:pt idx="2">
                  <c:v>1538</c:v>
                </c:pt>
                <c:pt idx="3">
                  <c:v>2326</c:v>
                </c:pt>
                <c:pt idx="4">
                  <c:v>3479</c:v>
                </c:pt>
                <c:pt idx="5">
                  <c:v>4291</c:v>
                </c:pt>
                <c:pt idx="6">
                  <c:v>4714</c:v>
                </c:pt>
                <c:pt idx="7">
                  <c:v>4133</c:v>
                </c:pt>
                <c:pt idx="8">
                  <c:v>3647</c:v>
                </c:pt>
                <c:pt idx="9">
                  <c:v>3505</c:v>
                </c:pt>
                <c:pt idx="10">
                  <c:v>4001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78757453"/>
        <c:axId val="495685896"/>
      </c:lineChart>
      <c:catAx>
        <c:axId val="87875745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5685896"/>
        <c:crosses val="autoZero"/>
        <c:auto val="1"/>
        <c:lblAlgn val="ctr"/>
        <c:lblOffset val="100"/>
        <c:noMultiLvlLbl val="0"/>
      </c:catAx>
      <c:valAx>
        <c:axId val="495685896"/>
        <c:scaling>
          <c:orientation val="minMax"/>
          <c:max val="5500"/>
          <c:min val="1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875745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102235</xdr:colOff>
      <xdr:row>8</xdr:row>
      <xdr:rowOff>73025</xdr:rowOff>
    </xdr:from>
    <xdr:to>
      <xdr:col>11</xdr:col>
      <xdr:colOff>45720</xdr:colOff>
      <xdr:row>25</xdr:row>
      <xdr:rowOff>100330</xdr:rowOff>
    </xdr:to>
    <xdr:graphicFrame>
      <xdr:nvGraphicFramePr>
        <xdr:cNvPr id="4" name="图表 3"/>
        <xdr:cNvGraphicFramePr/>
      </xdr:nvGraphicFramePr>
      <xdr:xfrm>
        <a:off x="2159635" y="1444625"/>
        <a:ext cx="6320155" cy="29419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6"/>
  <sheetViews>
    <sheetView zoomScale="85" zoomScaleNormal="85" workbookViewId="0">
      <selection activeCell="C1" sqref="C$1:V$1048576"/>
    </sheetView>
  </sheetViews>
  <sheetFormatPr defaultColWidth="9" defaultRowHeight="13.5"/>
  <cols>
    <col min="1" max="1" width="9" style="11"/>
    <col min="2" max="2" width="13.75" style="11"/>
    <col min="3" max="3" width="9" style="11" customWidth="1"/>
    <col min="4" max="8" width="9" style="11"/>
    <col min="9" max="10" width="9" style="11" customWidth="1"/>
    <col min="11" max="11" width="9" style="11"/>
    <col min="12" max="13" width="9" style="11" customWidth="1"/>
    <col min="14" max="16384" width="9" style="11"/>
  </cols>
  <sheetData>
    <row r="1" spans="1:22">
      <c r="A1" s="2" t="s">
        <v>0</v>
      </c>
      <c r="B1" s="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</row>
    <row r="2" spans="1:22">
      <c r="A2" s="2" t="s">
        <v>22</v>
      </c>
      <c r="B2" s="2">
        <v>700</v>
      </c>
      <c r="C2" s="12">
        <v>1</v>
      </c>
      <c r="D2" s="12">
        <v>1</v>
      </c>
      <c r="E2" s="12">
        <v>0</v>
      </c>
      <c r="F2" s="12">
        <v>1</v>
      </c>
      <c r="G2" s="12">
        <v>0</v>
      </c>
      <c r="H2" s="12">
        <v>0</v>
      </c>
      <c r="I2" s="12">
        <v>1</v>
      </c>
      <c r="J2" s="12">
        <v>0</v>
      </c>
      <c r="K2" s="12">
        <v>1</v>
      </c>
      <c r="L2" s="12">
        <v>0</v>
      </c>
      <c r="M2" s="12">
        <v>0</v>
      </c>
      <c r="N2" s="12">
        <v>0</v>
      </c>
      <c r="O2" s="12">
        <v>1</v>
      </c>
      <c r="P2" s="12">
        <v>0</v>
      </c>
      <c r="Q2" s="12">
        <v>1</v>
      </c>
      <c r="R2" s="12">
        <v>0</v>
      </c>
      <c r="S2" s="12">
        <v>1</v>
      </c>
      <c r="T2" s="12">
        <v>1</v>
      </c>
      <c r="U2" s="12">
        <v>0</v>
      </c>
      <c r="V2" s="12">
        <v>11401</v>
      </c>
    </row>
    <row r="3" spans="1:22">
      <c r="A3" s="2" t="s">
        <v>23</v>
      </c>
      <c r="B3" s="2">
        <v>-475</v>
      </c>
      <c r="C3" s="12">
        <v>1</v>
      </c>
      <c r="D3" s="12">
        <v>0</v>
      </c>
      <c r="E3" s="12">
        <v>1</v>
      </c>
      <c r="F3" s="12">
        <v>0</v>
      </c>
      <c r="G3" s="12">
        <v>0</v>
      </c>
      <c r="H3" s="12">
        <v>1</v>
      </c>
      <c r="I3" s="12">
        <v>1</v>
      </c>
      <c r="J3" s="12">
        <v>0</v>
      </c>
      <c r="K3" s="12">
        <v>0</v>
      </c>
      <c r="L3" s="12">
        <v>0</v>
      </c>
      <c r="M3" s="12">
        <v>1</v>
      </c>
      <c r="N3" s="12">
        <v>1</v>
      </c>
      <c r="O3" s="12">
        <v>1</v>
      </c>
      <c r="P3" s="12">
        <v>0</v>
      </c>
      <c r="Q3" s="12">
        <v>1</v>
      </c>
      <c r="R3" s="12">
        <v>0</v>
      </c>
      <c r="S3" s="12">
        <v>0</v>
      </c>
      <c r="T3" s="12">
        <v>1</v>
      </c>
      <c r="U3" s="12">
        <v>0</v>
      </c>
      <c r="V3" s="12">
        <v>12901</v>
      </c>
    </row>
    <row r="4" spans="1:22">
      <c r="A4" s="2" t="s">
        <v>24</v>
      </c>
      <c r="B4" s="2">
        <v>1000</v>
      </c>
      <c r="C4" s="12">
        <v>1</v>
      </c>
      <c r="D4" s="12">
        <v>0</v>
      </c>
      <c r="E4" s="12">
        <v>0</v>
      </c>
      <c r="F4" s="12">
        <v>0</v>
      </c>
      <c r="G4" s="12">
        <v>1</v>
      </c>
      <c r="H4" s="12">
        <v>0</v>
      </c>
      <c r="I4" s="12">
        <v>1</v>
      </c>
      <c r="J4" s="12">
        <v>0</v>
      </c>
      <c r="K4" s="12">
        <v>1</v>
      </c>
      <c r="L4" s="12">
        <v>0</v>
      </c>
      <c r="M4" s="12">
        <v>1</v>
      </c>
      <c r="N4" s="12">
        <v>0</v>
      </c>
      <c r="O4" s="12">
        <v>1</v>
      </c>
      <c r="P4" s="12">
        <v>1</v>
      </c>
      <c r="Q4" s="12">
        <v>0</v>
      </c>
      <c r="R4" s="12">
        <v>0</v>
      </c>
      <c r="S4" s="12">
        <v>1</v>
      </c>
      <c r="T4" s="12">
        <v>1</v>
      </c>
      <c r="U4" s="12">
        <v>0</v>
      </c>
      <c r="V4" s="12">
        <v>13901</v>
      </c>
    </row>
    <row r="5" spans="1:22">
      <c r="A5" s="2" t="s">
        <v>25</v>
      </c>
      <c r="B5" s="2">
        <v>1150</v>
      </c>
      <c r="C5" s="12">
        <v>1</v>
      </c>
      <c r="D5" s="12">
        <v>1</v>
      </c>
      <c r="E5" s="12">
        <v>1</v>
      </c>
      <c r="F5" s="12">
        <v>1</v>
      </c>
      <c r="G5" s="12">
        <v>1</v>
      </c>
      <c r="H5" s="12">
        <v>0</v>
      </c>
      <c r="I5" s="12">
        <v>1</v>
      </c>
      <c r="J5" s="12">
        <v>0</v>
      </c>
      <c r="K5" s="12">
        <v>1</v>
      </c>
      <c r="L5" s="12">
        <v>0</v>
      </c>
      <c r="M5" s="12">
        <v>0</v>
      </c>
      <c r="N5" s="12">
        <v>0</v>
      </c>
      <c r="O5" s="12">
        <v>1</v>
      </c>
      <c r="P5" s="12">
        <v>0</v>
      </c>
      <c r="Q5" s="12">
        <v>1</v>
      </c>
      <c r="R5" s="12">
        <v>0</v>
      </c>
      <c r="S5" s="12">
        <v>0</v>
      </c>
      <c r="T5" s="12">
        <v>1</v>
      </c>
      <c r="U5" s="12">
        <v>0</v>
      </c>
      <c r="V5" s="12">
        <v>16401</v>
      </c>
    </row>
    <row r="6" spans="1:22">
      <c r="A6" s="2" t="s">
        <v>26</v>
      </c>
      <c r="B6" s="2">
        <v>675</v>
      </c>
      <c r="C6" s="12">
        <v>1</v>
      </c>
      <c r="D6" s="12">
        <v>1</v>
      </c>
      <c r="E6" s="12">
        <v>0</v>
      </c>
      <c r="F6" s="12">
        <v>1</v>
      </c>
      <c r="G6" s="12">
        <v>1</v>
      </c>
      <c r="H6" s="12">
        <v>1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1</v>
      </c>
      <c r="P6" s="12">
        <v>1</v>
      </c>
      <c r="Q6" s="12">
        <v>1</v>
      </c>
      <c r="R6" s="12">
        <v>1</v>
      </c>
      <c r="S6" s="12">
        <v>0</v>
      </c>
      <c r="T6" s="12">
        <v>1</v>
      </c>
      <c r="U6" s="12">
        <v>0</v>
      </c>
      <c r="V6" s="12">
        <v>14401</v>
      </c>
    </row>
    <row r="7" spans="1:22">
      <c r="A7" s="2" t="s">
        <v>27</v>
      </c>
      <c r="B7" s="2">
        <v>350</v>
      </c>
      <c r="C7" s="12">
        <v>1</v>
      </c>
      <c r="D7" s="12">
        <v>0</v>
      </c>
      <c r="E7" s="12">
        <v>1</v>
      </c>
      <c r="F7" s="12">
        <v>0</v>
      </c>
      <c r="G7" s="12">
        <v>0</v>
      </c>
      <c r="H7" s="12">
        <v>0</v>
      </c>
      <c r="I7" s="12">
        <v>1</v>
      </c>
      <c r="J7" s="12">
        <v>0</v>
      </c>
      <c r="K7" s="12">
        <v>1</v>
      </c>
      <c r="L7" s="12">
        <v>0</v>
      </c>
      <c r="M7" s="12">
        <v>1</v>
      </c>
      <c r="N7" s="12">
        <v>0</v>
      </c>
      <c r="O7" s="12">
        <v>1</v>
      </c>
      <c r="P7" s="12">
        <v>1</v>
      </c>
      <c r="Q7" s="12">
        <v>1</v>
      </c>
      <c r="R7" s="12">
        <v>1</v>
      </c>
      <c r="S7" s="12">
        <v>0</v>
      </c>
      <c r="T7" s="12">
        <v>0</v>
      </c>
      <c r="U7" s="12">
        <v>0</v>
      </c>
      <c r="V7" s="12">
        <v>11401</v>
      </c>
    </row>
    <row r="8" spans="1:22">
      <c r="A8" s="2" t="s">
        <v>28</v>
      </c>
      <c r="B8" s="2">
        <v>-250</v>
      </c>
      <c r="C8" s="12">
        <v>1</v>
      </c>
      <c r="D8" s="12">
        <v>0</v>
      </c>
      <c r="E8" s="12">
        <v>0</v>
      </c>
      <c r="F8" s="12">
        <v>1</v>
      </c>
      <c r="G8" s="12">
        <v>1</v>
      </c>
      <c r="H8" s="12">
        <v>1</v>
      </c>
      <c r="I8" s="12">
        <v>1</v>
      </c>
      <c r="J8" s="12">
        <v>0</v>
      </c>
      <c r="K8" s="12">
        <v>1</v>
      </c>
      <c r="L8" s="12">
        <v>0</v>
      </c>
      <c r="M8" s="12">
        <v>0</v>
      </c>
      <c r="N8" s="12">
        <v>1</v>
      </c>
      <c r="O8" s="12">
        <v>0</v>
      </c>
      <c r="P8" s="12">
        <v>0</v>
      </c>
      <c r="Q8" s="12">
        <v>1</v>
      </c>
      <c r="R8" s="12">
        <v>0</v>
      </c>
      <c r="S8" s="12">
        <v>0</v>
      </c>
      <c r="T8" s="12">
        <v>1</v>
      </c>
      <c r="U8" s="12">
        <v>0</v>
      </c>
      <c r="V8" s="12">
        <v>14401</v>
      </c>
    </row>
    <row r="9" spans="1:22">
      <c r="A9" s="2" t="s">
        <v>29</v>
      </c>
      <c r="B9" s="2">
        <v>-375</v>
      </c>
      <c r="C9" s="12">
        <v>1</v>
      </c>
      <c r="D9" s="12">
        <v>1</v>
      </c>
      <c r="E9" s="12">
        <v>1</v>
      </c>
      <c r="F9" s="12">
        <v>1</v>
      </c>
      <c r="G9" s="12">
        <v>0</v>
      </c>
      <c r="H9" s="12">
        <v>1</v>
      </c>
      <c r="I9" s="12">
        <v>0</v>
      </c>
      <c r="J9" s="12">
        <v>0</v>
      </c>
      <c r="K9" s="12">
        <v>0</v>
      </c>
      <c r="L9" s="12">
        <v>0</v>
      </c>
      <c r="M9" s="12">
        <v>1</v>
      </c>
      <c r="N9" s="12">
        <v>1</v>
      </c>
      <c r="O9" s="12">
        <v>1</v>
      </c>
      <c r="P9" s="12">
        <v>0</v>
      </c>
      <c r="Q9" s="12">
        <v>1</v>
      </c>
      <c r="R9" s="12">
        <v>0</v>
      </c>
      <c r="S9" s="12">
        <v>0</v>
      </c>
      <c r="T9" s="12">
        <v>0</v>
      </c>
      <c r="U9" s="12">
        <v>0</v>
      </c>
      <c r="V9" s="12">
        <v>13401</v>
      </c>
    </row>
    <row r="10" spans="1:22">
      <c r="A10" s="2" t="s">
        <v>30</v>
      </c>
      <c r="B10" s="2">
        <v>-475</v>
      </c>
      <c r="C10" s="12">
        <v>1</v>
      </c>
      <c r="D10" s="12">
        <v>1</v>
      </c>
      <c r="E10" s="12">
        <v>1</v>
      </c>
      <c r="F10" s="12">
        <v>0</v>
      </c>
      <c r="G10" s="12">
        <v>0</v>
      </c>
      <c r="H10" s="12">
        <v>1</v>
      </c>
      <c r="I10" s="12">
        <v>1</v>
      </c>
      <c r="J10" s="12">
        <v>0</v>
      </c>
      <c r="K10" s="12">
        <v>1</v>
      </c>
      <c r="L10" s="12">
        <v>0</v>
      </c>
      <c r="M10" s="12">
        <v>1</v>
      </c>
      <c r="N10" s="12">
        <v>1</v>
      </c>
      <c r="O10" s="12">
        <v>0</v>
      </c>
      <c r="P10" s="12">
        <v>0</v>
      </c>
      <c r="Q10" s="12">
        <v>0</v>
      </c>
      <c r="R10" s="12">
        <v>0</v>
      </c>
      <c r="S10" s="12">
        <v>1</v>
      </c>
      <c r="T10" s="12">
        <v>1</v>
      </c>
      <c r="U10" s="12">
        <v>0</v>
      </c>
      <c r="V10" s="12">
        <v>17401</v>
      </c>
    </row>
    <row r="11" spans="1:22">
      <c r="A11" s="2" t="s">
        <v>31</v>
      </c>
      <c r="B11" s="2">
        <v>650</v>
      </c>
      <c r="C11" s="12">
        <v>0</v>
      </c>
      <c r="D11" s="12">
        <v>0</v>
      </c>
      <c r="E11" s="12">
        <v>1</v>
      </c>
      <c r="F11" s="12">
        <v>1</v>
      </c>
      <c r="G11" s="12">
        <v>0</v>
      </c>
      <c r="H11" s="12">
        <v>0</v>
      </c>
      <c r="I11" s="12">
        <v>1</v>
      </c>
      <c r="J11" s="12">
        <v>0</v>
      </c>
      <c r="K11" s="12">
        <v>1</v>
      </c>
      <c r="L11" s="12">
        <v>0</v>
      </c>
      <c r="M11" s="12">
        <v>0</v>
      </c>
      <c r="N11" s="12">
        <v>0</v>
      </c>
      <c r="O11" s="12">
        <v>1</v>
      </c>
      <c r="P11" s="12">
        <v>1</v>
      </c>
      <c r="Q11" s="12">
        <v>1</v>
      </c>
      <c r="R11" s="12">
        <v>1</v>
      </c>
      <c r="S11" s="12">
        <v>1</v>
      </c>
      <c r="T11" s="12">
        <v>0</v>
      </c>
      <c r="U11" s="12">
        <v>0</v>
      </c>
      <c r="V11" s="12">
        <v>11901</v>
      </c>
    </row>
    <row r="12" spans="1:22">
      <c r="A12" s="2" t="s">
        <v>22</v>
      </c>
      <c r="B12" s="2">
        <v>175</v>
      </c>
      <c r="C12" s="12">
        <v>0</v>
      </c>
      <c r="D12" s="12">
        <v>0</v>
      </c>
      <c r="E12" s="12">
        <v>1</v>
      </c>
      <c r="F12" s="12">
        <v>1</v>
      </c>
      <c r="G12" s="12">
        <v>0</v>
      </c>
      <c r="H12" s="12">
        <v>0</v>
      </c>
      <c r="I12" s="12">
        <v>0</v>
      </c>
      <c r="J12" s="12">
        <v>0</v>
      </c>
      <c r="K12" s="12">
        <v>1</v>
      </c>
      <c r="L12" s="12">
        <v>0</v>
      </c>
      <c r="M12" s="12">
        <v>1</v>
      </c>
      <c r="N12" s="12">
        <v>1</v>
      </c>
      <c r="O12" s="12">
        <v>0</v>
      </c>
      <c r="P12" s="12">
        <v>0</v>
      </c>
      <c r="Q12" s="12">
        <v>0</v>
      </c>
      <c r="R12" s="12">
        <v>1</v>
      </c>
      <c r="S12" s="12">
        <v>1</v>
      </c>
      <c r="T12" s="12">
        <v>1</v>
      </c>
      <c r="U12" s="12">
        <v>1</v>
      </c>
      <c r="V12" s="12">
        <v>14401</v>
      </c>
    </row>
    <row r="13" spans="1:22">
      <c r="A13" s="2" t="s">
        <v>23</v>
      </c>
      <c r="B13" s="2">
        <v>-325</v>
      </c>
      <c r="C13" s="12">
        <v>1</v>
      </c>
      <c r="D13" s="12">
        <v>1</v>
      </c>
      <c r="E13" s="12">
        <v>1</v>
      </c>
      <c r="F13" s="12">
        <v>1</v>
      </c>
      <c r="G13" s="12">
        <v>0</v>
      </c>
      <c r="H13" s="12">
        <v>1</v>
      </c>
      <c r="I13" s="12">
        <v>1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1</v>
      </c>
      <c r="P13" s="12">
        <v>0</v>
      </c>
      <c r="Q13" s="12">
        <v>0</v>
      </c>
      <c r="R13" s="12">
        <v>1</v>
      </c>
      <c r="S13" s="12">
        <v>0</v>
      </c>
      <c r="T13" s="12">
        <v>0</v>
      </c>
      <c r="U13" s="12">
        <v>1</v>
      </c>
      <c r="V13" s="12">
        <v>13401</v>
      </c>
    </row>
    <row r="14" spans="1:22">
      <c r="A14" s="2" t="s">
        <v>24</v>
      </c>
      <c r="B14" s="2">
        <v>-975</v>
      </c>
      <c r="C14" s="12">
        <v>1</v>
      </c>
      <c r="D14" s="12">
        <v>0</v>
      </c>
      <c r="E14" s="12">
        <v>1</v>
      </c>
      <c r="F14" s="12">
        <v>0</v>
      </c>
      <c r="G14" s="12">
        <v>0</v>
      </c>
      <c r="H14" s="12">
        <v>1</v>
      </c>
      <c r="I14" s="12">
        <v>0</v>
      </c>
      <c r="J14" s="12">
        <v>0</v>
      </c>
      <c r="K14" s="12">
        <v>1</v>
      </c>
      <c r="L14" s="12">
        <v>0</v>
      </c>
      <c r="M14" s="12">
        <v>1</v>
      </c>
      <c r="N14" s="12">
        <v>1</v>
      </c>
      <c r="O14" s="12">
        <v>0</v>
      </c>
      <c r="P14" s="12">
        <v>0</v>
      </c>
      <c r="Q14" s="12">
        <v>1</v>
      </c>
      <c r="R14" s="12">
        <v>1</v>
      </c>
      <c r="S14" s="12">
        <v>0</v>
      </c>
      <c r="T14" s="12">
        <v>1</v>
      </c>
      <c r="U14" s="12">
        <v>1</v>
      </c>
      <c r="V14" s="12">
        <v>14901</v>
      </c>
    </row>
    <row r="15" spans="1:22">
      <c r="A15" s="2" t="s">
        <v>25</v>
      </c>
      <c r="B15" s="2">
        <v>-750</v>
      </c>
      <c r="C15" s="12">
        <v>1</v>
      </c>
      <c r="D15" s="12">
        <v>1</v>
      </c>
      <c r="E15" s="12">
        <v>0</v>
      </c>
      <c r="F15" s="12">
        <v>1</v>
      </c>
      <c r="G15" s="12">
        <v>0</v>
      </c>
      <c r="H15" s="12">
        <v>0</v>
      </c>
      <c r="I15" s="12">
        <v>0</v>
      </c>
      <c r="J15" s="12">
        <v>0</v>
      </c>
      <c r="K15" s="12">
        <v>1</v>
      </c>
      <c r="L15" s="12">
        <v>0</v>
      </c>
      <c r="M15" s="12">
        <v>1</v>
      </c>
      <c r="N15" s="12">
        <v>1</v>
      </c>
      <c r="O15" s="12">
        <v>1</v>
      </c>
      <c r="P15" s="12">
        <v>0</v>
      </c>
      <c r="Q15" s="12">
        <v>0</v>
      </c>
      <c r="R15" s="12">
        <v>0</v>
      </c>
      <c r="S15" s="12">
        <v>1</v>
      </c>
      <c r="T15" s="12">
        <v>0</v>
      </c>
      <c r="U15" s="12">
        <v>1</v>
      </c>
      <c r="V15" s="12">
        <v>12901</v>
      </c>
    </row>
    <row r="16" spans="1:22">
      <c r="A16" s="2" t="s">
        <v>26</v>
      </c>
      <c r="B16" s="2">
        <v>-25</v>
      </c>
      <c r="C16" s="12">
        <v>1</v>
      </c>
      <c r="D16" s="12">
        <v>1</v>
      </c>
      <c r="E16" s="12">
        <v>1</v>
      </c>
      <c r="F16" s="12">
        <v>1</v>
      </c>
      <c r="G16" s="12">
        <v>0</v>
      </c>
      <c r="H16" s="12">
        <v>0</v>
      </c>
      <c r="I16" s="12">
        <v>1</v>
      </c>
      <c r="J16" s="12">
        <v>0</v>
      </c>
      <c r="K16" s="12">
        <v>0</v>
      </c>
      <c r="L16" s="12">
        <v>0</v>
      </c>
      <c r="M16" s="12">
        <v>0</v>
      </c>
      <c r="N16" s="12">
        <v>1</v>
      </c>
      <c r="O16" s="12">
        <v>0</v>
      </c>
      <c r="P16" s="12">
        <v>0</v>
      </c>
      <c r="Q16" s="12">
        <v>0</v>
      </c>
      <c r="R16" s="12">
        <v>1</v>
      </c>
      <c r="S16" s="12">
        <v>0</v>
      </c>
      <c r="T16" s="12">
        <v>1</v>
      </c>
      <c r="U16" s="12">
        <v>1</v>
      </c>
      <c r="V16" s="12">
        <v>13901</v>
      </c>
    </row>
    <row r="17" spans="1:22">
      <c r="A17" s="2" t="s">
        <v>27</v>
      </c>
      <c r="B17" s="2">
        <v>-475</v>
      </c>
      <c r="C17" s="12">
        <v>1</v>
      </c>
      <c r="D17" s="12">
        <v>1</v>
      </c>
      <c r="E17" s="12">
        <v>0</v>
      </c>
      <c r="F17" s="12">
        <v>1</v>
      </c>
      <c r="G17" s="12">
        <v>1</v>
      </c>
      <c r="H17" s="12">
        <v>0</v>
      </c>
      <c r="I17" s="12">
        <v>1</v>
      </c>
      <c r="J17" s="12">
        <v>0</v>
      </c>
      <c r="K17" s="12">
        <v>0</v>
      </c>
      <c r="L17" s="12">
        <v>0</v>
      </c>
      <c r="M17" s="12">
        <v>0</v>
      </c>
      <c r="N17" s="12">
        <v>1</v>
      </c>
      <c r="O17" s="12">
        <v>1</v>
      </c>
      <c r="P17" s="12">
        <v>1</v>
      </c>
      <c r="Q17" s="12">
        <v>0</v>
      </c>
      <c r="R17" s="12">
        <v>1</v>
      </c>
      <c r="S17" s="12">
        <v>0</v>
      </c>
      <c r="T17" s="12">
        <v>0</v>
      </c>
      <c r="U17" s="12">
        <v>1</v>
      </c>
      <c r="V17" s="12">
        <v>14901</v>
      </c>
    </row>
    <row r="18" spans="1:22">
      <c r="A18" s="2" t="s">
        <v>28</v>
      </c>
      <c r="B18" s="2">
        <v>575</v>
      </c>
      <c r="C18" s="12">
        <v>1</v>
      </c>
      <c r="D18" s="12">
        <v>0</v>
      </c>
      <c r="E18" s="12">
        <v>1</v>
      </c>
      <c r="F18" s="12">
        <v>1</v>
      </c>
      <c r="G18" s="12">
        <v>1</v>
      </c>
      <c r="H18" s="12">
        <v>1</v>
      </c>
      <c r="I18" s="12">
        <v>0</v>
      </c>
      <c r="J18" s="12">
        <v>0</v>
      </c>
      <c r="K18" s="12">
        <v>1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1</v>
      </c>
      <c r="R18" s="12">
        <v>1</v>
      </c>
      <c r="S18" s="12">
        <v>1</v>
      </c>
      <c r="T18" s="12">
        <v>0</v>
      </c>
      <c r="U18" s="12">
        <v>1</v>
      </c>
      <c r="V18" s="12">
        <v>16401</v>
      </c>
    </row>
    <row r="19" spans="1:22">
      <c r="A19" s="2" t="s">
        <v>29</v>
      </c>
      <c r="B19" s="2">
        <v>-1900</v>
      </c>
      <c r="C19" s="12">
        <v>1</v>
      </c>
      <c r="D19" s="12">
        <v>0</v>
      </c>
      <c r="E19" s="12">
        <v>0</v>
      </c>
      <c r="F19" s="12">
        <v>1</v>
      </c>
      <c r="G19" s="12">
        <v>0</v>
      </c>
      <c r="H19" s="12">
        <v>1</v>
      </c>
      <c r="I19" s="12">
        <v>1</v>
      </c>
      <c r="J19" s="12">
        <v>0</v>
      </c>
      <c r="K19" s="12">
        <v>1</v>
      </c>
      <c r="L19" s="12">
        <v>0</v>
      </c>
      <c r="M19" s="12">
        <v>0</v>
      </c>
      <c r="N19" s="12">
        <v>1</v>
      </c>
      <c r="O19" s="12">
        <v>0</v>
      </c>
      <c r="P19" s="12">
        <v>0</v>
      </c>
      <c r="Q19" s="12">
        <v>1</v>
      </c>
      <c r="R19" s="12">
        <v>0</v>
      </c>
      <c r="S19" s="12">
        <v>1</v>
      </c>
      <c r="T19" s="12">
        <v>0</v>
      </c>
      <c r="U19" s="12">
        <v>1</v>
      </c>
      <c r="V19" s="12">
        <v>11901</v>
      </c>
    </row>
    <row r="20" spans="1:22">
      <c r="A20" s="2" t="s">
        <v>30</v>
      </c>
      <c r="B20" s="2">
        <v>125</v>
      </c>
      <c r="C20" s="12">
        <v>1</v>
      </c>
      <c r="D20" s="12">
        <v>0</v>
      </c>
      <c r="E20" s="12">
        <v>0</v>
      </c>
      <c r="F20" s="12">
        <v>1</v>
      </c>
      <c r="G20" s="12">
        <v>0</v>
      </c>
      <c r="H20" s="12">
        <v>0</v>
      </c>
      <c r="I20" s="12">
        <v>0</v>
      </c>
      <c r="J20" s="12">
        <v>0</v>
      </c>
      <c r="K20" s="12">
        <v>1</v>
      </c>
      <c r="L20" s="12">
        <v>0</v>
      </c>
      <c r="M20" s="12">
        <v>0</v>
      </c>
      <c r="N20" s="12">
        <v>0</v>
      </c>
      <c r="O20" s="12">
        <v>1</v>
      </c>
      <c r="P20" s="12">
        <v>0</v>
      </c>
      <c r="Q20" s="12">
        <v>0</v>
      </c>
      <c r="R20" s="12">
        <v>1</v>
      </c>
      <c r="S20" s="12">
        <v>1</v>
      </c>
      <c r="T20" s="12">
        <v>1</v>
      </c>
      <c r="U20" s="12">
        <v>1</v>
      </c>
      <c r="V20" s="12">
        <v>10401</v>
      </c>
    </row>
    <row r="21" spans="1:22">
      <c r="A21" s="2" t="s">
        <v>31</v>
      </c>
      <c r="B21" s="2">
        <v>100</v>
      </c>
      <c r="C21" s="12">
        <v>1</v>
      </c>
      <c r="D21" s="12">
        <v>1</v>
      </c>
      <c r="E21" s="12">
        <v>1</v>
      </c>
      <c r="F21" s="12">
        <v>0</v>
      </c>
      <c r="G21" s="12">
        <v>1</v>
      </c>
      <c r="H21" s="12">
        <v>1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1</v>
      </c>
      <c r="O21" s="12">
        <v>0</v>
      </c>
      <c r="P21" s="12">
        <v>0</v>
      </c>
      <c r="Q21" s="12">
        <v>0</v>
      </c>
      <c r="R21" s="12">
        <v>1</v>
      </c>
      <c r="S21" s="12">
        <v>0</v>
      </c>
      <c r="T21" s="12">
        <v>1</v>
      </c>
      <c r="U21" s="12">
        <v>1</v>
      </c>
      <c r="V21" s="12">
        <v>17401</v>
      </c>
    </row>
    <row r="22" spans="1:22">
      <c r="A22" s="2" t="s">
        <v>32</v>
      </c>
      <c r="B22" s="2">
        <v>0</v>
      </c>
      <c r="C22" s="12">
        <v>1</v>
      </c>
      <c r="D22" s="12">
        <v>1</v>
      </c>
      <c r="E22" s="12">
        <v>0</v>
      </c>
      <c r="F22" s="12">
        <v>0</v>
      </c>
      <c r="G22" s="12">
        <v>1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1</v>
      </c>
      <c r="O22" s="12">
        <v>0</v>
      </c>
      <c r="P22" s="12">
        <v>0</v>
      </c>
      <c r="Q22" s="12">
        <v>1</v>
      </c>
      <c r="R22" s="12">
        <v>0</v>
      </c>
      <c r="S22" s="12">
        <v>1</v>
      </c>
      <c r="T22" s="12">
        <v>1</v>
      </c>
      <c r="U22" s="12">
        <v>1</v>
      </c>
      <c r="V22" s="12">
        <v>12901</v>
      </c>
    </row>
    <row r="23" spans="1:22">
      <c r="A23" s="2" t="s">
        <v>33</v>
      </c>
      <c r="B23" s="2">
        <v>300</v>
      </c>
      <c r="C23" s="12">
        <v>1</v>
      </c>
      <c r="D23" s="12">
        <v>0</v>
      </c>
      <c r="E23" s="12">
        <v>0</v>
      </c>
      <c r="F23" s="12">
        <v>1</v>
      </c>
      <c r="G23" s="12">
        <v>1</v>
      </c>
      <c r="H23" s="12">
        <v>1</v>
      </c>
      <c r="I23" s="12">
        <v>0</v>
      </c>
      <c r="J23" s="12">
        <v>0</v>
      </c>
      <c r="K23" s="12">
        <v>1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1</v>
      </c>
      <c r="R23" s="12">
        <v>0</v>
      </c>
      <c r="S23" s="12">
        <v>0</v>
      </c>
      <c r="T23" s="12">
        <v>1</v>
      </c>
      <c r="U23" s="12">
        <v>1</v>
      </c>
      <c r="V23" s="12">
        <v>12401</v>
      </c>
    </row>
    <row r="24" spans="1:22">
      <c r="A24" s="2" t="s">
        <v>34</v>
      </c>
      <c r="B24" s="2">
        <v>1000</v>
      </c>
      <c r="C24" s="12">
        <v>1</v>
      </c>
      <c r="D24" s="12">
        <v>0</v>
      </c>
      <c r="E24" s="12">
        <v>0</v>
      </c>
      <c r="F24" s="12">
        <v>1</v>
      </c>
      <c r="G24" s="12">
        <v>1</v>
      </c>
      <c r="H24" s="12">
        <v>0</v>
      </c>
      <c r="I24" s="12">
        <v>0</v>
      </c>
      <c r="J24" s="12">
        <v>0</v>
      </c>
      <c r="K24" s="12">
        <v>1</v>
      </c>
      <c r="L24" s="12">
        <v>0</v>
      </c>
      <c r="M24" s="12">
        <v>1</v>
      </c>
      <c r="N24" s="12">
        <v>0</v>
      </c>
      <c r="O24" s="12">
        <v>0</v>
      </c>
      <c r="P24" s="12">
        <v>1</v>
      </c>
      <c r="Q24" s="12">
        <v>0</v>
      </c>
      <c r="R24" s="12">
        <v>0</v>
      </c>
      <c r="S24" s="12">
        <v>1</v>
      </c>
      <c r="T24" s="12">
        <v>0</v>
      </c>
      <c r="U24" s="12">
        <v>1</v>
      </c>
      <c r="V24" s="12">
        <v>12401</v>
      </c>
    </row>
    <row r="25" spans="1:22">
      <c r="A25" s="2" t="s">
        <v>35</v>
      </c>
      <c r="B25" s="2">
        <v>175</v>
      </c>
      <c r="C25" s="12">
        <v>1</v>
      </c>
      <c r="D25" s="12">
        <v>1</v>
      </c>
      <c r="E25" s="12">
        <v>0</v>
      </c>
      <c r="F25" s="12">
        <v>1</v>
      </c>
      <c r="G25" s="12">
        <v>1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1</v>
      </c>
      <c r="N25" s="12">
        <v>1</v>
      </c>
      <c r="O25" s="12">
        <v>0</v>
      </c>
      <c r="P25" s="12">
        <v>0</v>
      </c>
      <c r="Q25" s="12">
        <v>1</v>
      </c>
      <c r="R25" s="12">
        <v>0</v>
      </c>
      <c r="S25" s="12">
        <v>0</v>
      </c>
      <c r="T25" s="12">
        <v>0</v>
      </c>
      <c r="U25" s="12">
        <v>1</v>
      </c>
      <c r="V25" s="12">
        <v>11901</v>
      </c>
    </row>
    <row r="26" spans="1:22">
      <c r="A26" s="2" t="s">
        <v>36</v>
      </c>
      <c r="B26" s="2">
        <v>950</v>
      </c>
      <c r="C26" s="12">
        <v>1</v>
      </c>
      <c r="D26" s="12">
        <v>1</v>
      </c>
      <c r="E26" s="12">
        <v>1</v>
      </c>
      <c r="F26" s="12">
        <v>1</v>
      </c>
      <c r="G26" s="12">
        <v>0</v>
      </c>
      <c r="H26" s="12">
        <v>1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1</v>
      </c>
      <c r="S26" s="12">
        <v>1</v>
      </c>
      <c r="T26" s="12">
        <v>0</v>
      </c>
      <c r="U26" s="12">
        <v>1</v>
      </c>
      <c r="V26" s="12">
        <v>12901</v>
      </c>
    </row>
    <row r="27" spans="1:22">
      <c r="A27" s="2" t="s">
        <v>37</v>
      </c>
      <c r="B27" s="2">
        <v>-475</v>
      </c>
      <c r="C27" s="12">
        <v>1</v>
      </c>
      <c r="D27" s="12">
        <v>0</v>
      </c>
      <c r="E27" s="12">
        <v>0</v>
      </c>
      <c r="F27" s="12">
        <v>1</v>
      </c>
      <c r="G27" s="12">
        <v>0</v>
      </c>
      <c r="H27" s="12">
        <v>1</v>
      </c>
      <c r="I27" s="12">
        <v>0</v>
      </c>
      <c r="J27" s="12">
        <v>0</v>
      </c>
      <c r="K27" s="12">
        <v>1</v>
      </c>
      <c r="L27" s="12">
        <v>0</v>
      </c>
      <c r="M27" s="12">
        <v>0</v>
      </c>
      <c r="N27" s="12">
        <v>1</v>
      </c>
      <c r="O27" s="12">
        <v>0</v>
      </c>
      <c r="P27" s="12">
        <v>1</v>
      </c>
      <c r="Q27" s="12">
        <v>0</v>
      </c>
      <c r="R27" s="12">
        <v>1</v>
      </c>
      <c r="S27" s="12">
        <v>1</v>
      </c>
      <c r="T27" s="12">
        <v>1</v>
      </c>
      <c r="U27" s="12">
        <v>1</v>
      </c>
      <c r="V27" s="12">
        <v>14401</v>
      </c>
    </row>
    <row r="28" spans="1:22">
      <c r="A28" s="2" t="s">
        <v>38</v>
      </c>
      <c r="B28" s="2">
        <v>-1475</v>
      </c>
      <c r="C28" s="12">
        <v>1</v>
      </c>
      <c r="D28" s="12">
        <v>0</v>
      </c>
      <c r="E28" s="12">
        <v>0</v>
      </c>
      <c r="F28" s="12">
        <v>1</v>
      </c>
      <c r="G28" s="12">
        <v>0</v>
      </c>
      <c r="H28" s="12">
        <v>1</v>
      </c>
      <c r="I28" s="12">
        <v>1</v>
      </c>
      <c r="J28" s="12">
        <v>0</v>
      </c>
      <c r="K28" s="12">
        <v>0</v>
      </c>
      <c r="L28" s="12">
        <v>0</v>
      </c>
      <c r="M28" s="12">
        <v>0</v>
      </c>
      <c r="N28" s="12">
        <v>1</v>
      </c>
      <c r="O28" s="12">
        <v>0</v>
      </c>
      <c r="P28" s="12">
        <v>0</v>
      </c>
      <c r="Q28" s="12">
        <v>1</v>
      </c>
      <c r="R28" s="12">
        <v>0</v>
      </c>
      <c r="S28" s="12">
        <v>0</v>
      </c>
      <c r="T28" s="12">
        <v>1</v>
      </c>
      <c r="U28" s="12">
        <v>1</v>
      </c>
      <c r="V28" s="12">
        <v>9901</v>
      </c>
    </row>
    <row r="29" spans="1:22">
      <c r="A29" s="2" t="s">
        <v>39</v>
      </c>
      <c r="B29" s="2">
        <v>-1075</v>
      </c>
      <c r="C29" s="12">
        <v>1</v>
      </c>
      <c r="D29" s="12">
        <v>1</v>
      </c>
      <c r="E29" s="12">
        <v>0</v>
      </c>
      <c r="F29" s="12">
        <v>1</v>
      </c>
      <c r="G29" s="12">
        <v>0</v>
      </c>
      <c r="H29" s="12">
        <v>1</v>
      </c>
      <c r="I29" s="12">
        <v>0</v>
      </c>
      <c r="J29" s="12">
        <v>0</v>
      </c>
      <c r="K29" s="12">
        <v>1</v>
      </c>
      <c r="L29" s="12">
        <v>0</v>
      </c>
      <c r="M29" s="12">
        <v>0</v>
      </c>
      <c r="N29" s="12">
        <v>1</v>
      </c>
      <c r="O29" s="12">
        <v>0</v>
      </c>
      <c r="P29" s="12">
        <v>0</v>
      </c>
      <c r="Q29" s="12">
        <v>1</v>
      </c>
      <c r="R29" s="12">
        <v>0</v>
      </c>
      <c r="S29" s="12">
        <v>1</v>
      </c>
      <c r="T29" s="12">
        <v>1</v>
      </c>
      <c r="U29" s="12">
        <v>1</v>
      </c>
      <c r="V29" s="12">
        <v>14401</v>
      </c>
    </row>
    <row r="30" spans="1:22">
      <c r="A30" s="2" t="s">
        <v>40</v>
      </c>
      <c r="B30" s="2">
        <v>-1600</v>
      </c>
      <c r="C30" s="12">
        <v>1</v>
      </c>
      <c r="D30" s="12">
        <v>1</v>
      </c>
      <c r="E30" s="12">
        <v>0</v>
      </c>
      <c r="F30" s="12">
        <v>0</v>
      </c>
      <c r="G30" s="12">
        <v>0</v>
      </c>
      <c r="H30" s="12">
        <v>1</v>
      </c>
      <c r="I30" s="12">
        <v>1</v>
      </c>
      <c r="J30" s="12">
        <v>0</v>
      </c>
      <c r="K30" s="12">
        <v>1</v>
      </c>
      <c r="L30" s="12">
        <v>0</v>
      </c>
      <c r="M30" s="12">
        <v>1</v>
      </c>
      <c r="N30" s="12">
        <v>1</v>
      </c>
      <c r="O30" s="12">
        <v>0</v>
      </c>
      <c r="P30" s="12">
        <v>0</v>
      </c>
      <c r="Q30" s="12">
        <v>0</v>
      </c>
      <c r="R30" s="12">
        <v>1</v>
      </c>
      <c r="S30" s="12">
        <v>0</v>
      </c>
      <c r="T30" s="12">
        <v>0</v>
      </c>
      <c r="U30" s="12">
        <v>1</v>
      </c>
      <c r="V30" s="12">
        <v>13401</v>
      </c>
    </row>
    <row r="31" spans="1:22">
      <c r="A31" s="2" t="s">
        <v>41</v>
      </c>
      <c r="B31" s="2">
        <v>500</v>
      </c>
      <c r="C31" s="12">
        <v>1</v>
      </c>
      <c r="D31" s="12">
        <v>1</v>
      </c>
      <c r="E31" s="12">
        <v>0</v>
      </c>
      <c r="F31" s="12">
        <v>1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1</v>
      </c>
      <c r="N31" s="12">
        <v>0</v>
      </c>
      <c r="O31" s="12">
        <v>0</v>
      </c>
      <c r="P31" s="12">
        <v>0</v>
      </c>
      <c r="Q31" s="12">
        <v>0</v>
      </c>
      <c r="R31" s="12">
        <v>1</v>
      </c>
      <c r="S31" s="12">
        <v>1</v>
      </c>
      <c r="T31" s="12">
        <v>1</v>
      </c>
      <c r="U31" s="12">
        <v>1</v>
      </c>
      <c r="V31" s="12">
        <v>10401</v>
      </c>
    </row>
    <row r="32" spans="1:22">
      <c r="A32" s="2" t="s">
        <v>42</v>
      </c>
      <c r="B32" s="2">
        <v>-50</v>
      </c>
      <c r="C32" s="12">
        <v>1</v>
      </c>
      <c r="D32" s="12">
        <v>0</v>
      </c>
      <c r="E32" s="12">
        <v>0</v>
      </c>
      <c r="F32" s="12">
        <v>1</v>
      </c>
      <c r="G32" s="12">
        <v>1</v>
      </c>
      <c r="H32" s="12">
        <v>1</v>
      </c>
      <c r="I32" s="12">
        <v>0</v>
      </c>
      <c r="J32" s="12">
        <v>0</v>
      </c>
      <c r="K32" s="12">
        <v>1</v>
      </c>
      <c r="L32" s="12">
        <v>0</v>
      </c>
      <c r="M32" s="12">
        <v>1</v>
      </c>
      <c r="N32" s="12">
        <v>0</v>
      </c>
      <c r="O32" s="12">
        <v>1</v>
      </c>
      <c r="P32" s="12">
        <v>0</v>
      </c>
      <c r="Q32" s="12">
        <v>0</v>
      </c>
      <c r="R32" s="12">
        <v>1</v>
      </c>
      <c r="S32" s="12">
        <v>0</v>
      </c>
      <c r="T32" s="12">
        <v>0</v>
      </c>
      <c r="U32" s="12">
        <v>1</v>
      </c>
      <c r="V32" s="12">
        <v>13901</v>
      </c>
    </row>
    <row r="33" spans="1:22">
      <c r="A33" s="2" t="s">
        <v>43</v>
      </c>
      <c r="B33" s="2">
        <v>-975</v>
      </c>
      <c r="C33" s="12">
        <v>0</v>
      </c>
      <c r="D33" s="12">
        <v>0</v>
      </c>
      <c r="E33" s="12">
        <v>0</v>
      </c>
      <c r="F33" s="12">
        <v>1</v>
      </c>
      <c r="G33" s="12">
        <v>0</v>
      </c>
      <c r="H33" s="12">
        <v>1</v>
      </c>
      <c r="I33" s="12">
        <v>1</v>
      </c>
      <c r="J33" s="12">
        <v>0</v>
      </c>
      <c r="K33" s="12">
        <v>0</v>
      </c>
      <c r="L33" s="12">
        <v>0</v>
      </c>
      <c r="M33" s="12">
        <v>0</v>
      </c>
      <c r="N33" s="12">
        <v>1</v>
      </c>
      <c r="O33" s="12">
        <v>0</v>
      </c>
      <c r="P33" s="12">
        <v>1</v>
      </c>
      <c r="Q33" s="12">
        <v>1</v>
      </c>
      <c r="R33" s="12">
        <v>0</v>
      </c>
      <c r="S33" s="12">
        <v>1</v>
      </c>
      <c r="T33" s="12">
        <v>0</v>
      </c>
      <c r="U33" s="12">
        <v>1</v>
      </c>
      <c r="V33" s="12">
        <v>9901</v>
      </c>
    </row>
    <row r="34" spans="1:22">
      <c r="A34" s="2" t="s">
        <v>44</v>
      </c>
      <c r="B34" s="2">
        <v>100</v>
      </c>
      <c r="C34" s="12">
        <v>0</v>
      </c>
      <c r="D34" s="12">
        <v>1</v>
      </c>
      <c r="E34" s="12">
        <v>1</v>
      </c>
      <c r="F34" s="12">
        <v>1</v>
      </c>
      <c r="G34" s="12">
        <v>0</v>
      </c>
      <c r="H34" s="12">
        <v>1</v>
      </c>
      <c r="I34" s="12">
        <v>0</v>
      </c>
      <c r="J34" s="12">
        <v>0</v>
      </c>
      <c r="K34" s="12">
        <v>0</v>
      </c>
      <c r="L34" s="12">
        <v>0</v>
      </c>
      <c r="M34" s="12">
        <v>1</v>
      </c>
      <c r="N34" s="12">
        <v>0</v>
      </c>
      <c r="O34" s="12">
        <v>1</v>
      </c>
      <c r="P34" s="12">
        <v>0</v>
      </c>
      <c r="Q34" s="12">
        <v>1</v>
      </c>
      <c r="R34" s="12">
        <v>1</v>
      </c>
      <c r="S34" s="12">
        <v>0</v>
      </c>
      <c r="T34" s="12">
        <v>1</v>
      </c>
      <c r="U34" s="12">
        <v>1</v>
      </c>
      <c r="V34" s="12">
        <v>13901</v>
      </c>
    </row>
    <row r="35" spans="1:22">
      <c r="A35" s="2" t="s">
        <v>45</v>
      </c>
      <c r="B35" s="2">
        <v>-800</v>
      </c>
      <c r="C35" s="12">
        <v>0</v>
      </c>
      <c r="D35" s="12">
        <v>1</v>
      </c>
      <c r="E35" s="12">
        <v>0</v>
      </c>
      <c r="F35" s="12">
        <v>1</v>
      </c>
      <c r="G35" s="12">
        <v>1</v>
      </c>
      <c r="H35" s="12">
        <v>1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1</v>
      </c>
      <c r="O35" s="12">
        <v>1</v>
      </c>
      <c r="P35" s="12">
        <v>1</v>
      </c>
      <c r="Q35" s="12">
        <v>0</v>
      </c>
      <c r="R35" s="12">
        <v>1</v>
      </c>
      <c r="S35" s="12">
        <v>0</v>
      </c>
      <c r="T35" s="12">
        <v>1</v>
      </c>
      <c r="U35" s="12">
        <v>1</v>
      </c>
      <c r="V35" s="12">
        <v>16401</v>
      </c>
    </row>
    <row r="36" spans="1:22">
      <c r="A36" s="2" t="s">
        <v>46</v>
      </c>
      <c r="B36" s="2">
        <v>-350</v>
      </c>
      <c r="C36" s="12">
        <v>1</v>
      </c>
      <c r="D36" s="12">
        <v>0</v>
      </c>
      <c r="E36" s="12">
        <v>1</v>
      </c>
      <c r="F36" s="12">
        <v>0</v>
      </c>
      <c r="G36" s="12">
        <v>1</v>
      </c>
      <c r="H36" s="12">
        <v>1</v>
      </c>
      <c r="I36" s="12">
        <v>0</v>
      </c>
      <c r="J36" s="12">
        <v>0</v>
      </c>
      <c r="K36" s="12">
        <v>1</v>
      </c>
      <c r="L36" s="12">
        <v>0</v>
      </c>
      <c r="M36" s="12">
        <v>1</v>
      </c>
      <c r="N36" s="12">
        <v>0</v>
      </c>
      <c r="O36" s="12">
        <v>1</v>
      </c>
      <c r="P36" s="12">
        <v>1</v>
      </c>
      <c r="Q36" s="12">
        <v>0</v>
      </c>
      <c r="R36" s="12">
        <v>0</v>
      </c>
      <c r="S36" s="12">
        <v>0</v>
      </c>
      <c r="T36" s="12">
        <v>0</v>
      </c>
      <c r="U36" s="12">
        <v>1</v>
      </c>
      <c r="V36" s="12">
        <v>15901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zoomScale="130" zoomScaleNormal="130" workbookViewId="0">
      <selection activeCell="D3" sqref="D3:D12"/>
    </sheetView>
  </sheetViews>
  <sheetFormatPr defaultColWidth="9" defaultRowHeight="13.5"/>
  <cols>
    <col min="1" max="3" width="9" style="10"/>
    <col min="4" max="5" width="11.7333333333333" style="10" customWidth="1"/>
    <col min="6" max="6" width="9" style="10"/>
    <col min="7" max="7" width="9" style="10" customWidth="1"/>
    <col min="8" max="9" width="12.1083333333333" style="10" customWidth="1"/>
    <col min="10" max="16384" width="9" style="10"/>
  </cols>
  <sheetData>
    <row r="1" spans="2:7">
      <c r="B1" s="10" t="s">
        <v>47</v>
      </c>
      <c r="C1" s="10" t="b">
        <v>1</v>
      </c>
      <c r="D1" s="10" t="s">
        <v>48</v>
      </c>
      <c r="E1" s="10" t="s">
        <v>48</v>
      </c>
      <c r="F1" s="10" t="s">
        <v>49</v>
      </c>
      <c r="G1" s="10" t="s">
        <v>49</v>
      </c>
    </row>
    <row r="2" spans="3:9">
      <c r="C2" s="10">
        <v>2000</v>
      </c>
      <c r="D2" s="10">
        <v>2000</v>
      </c>
      <c r="E2" s="10">
        <v>2000</v>
      </c>
      <c r="F2" s="10">
        <v>2000</v>
      </c>
      <c r="G2" s="10">
        <v>2000</v>
      </c>
      <c r="H2" s="10" t="s">
        <v>48</v>
      </c>
      <c r="I2" s="10" t="s">
        <v>49</v>
      </c>
    </row>
    <row r="3" spans="1:9">
      <c r="A3" s="10" t="s">
        <v>22</v>
      </c>
      <c r="B3" s="2">
        <v>700</v>
      </c>
      <c r="C3" s="10">
        <f>C2+B3-65.52</f>
        <v>2634.48</v>
      </c>
      <c r="E3" s="10">
        <v>2595</v>
      </c>
      <c r="F3" s="10">
        <v>2423</v>
      </c>
      <c r="G3" s="10">
        <v>2423</v>
      </c>
      <c r="H3" s="10" t="e">
        <f>RSQ(C3:C12,D3:D12)</f>
        <v>#DIV/0!</v>
      </c>
      <c r="I3" s="10">
        <f>RSQ(C3:C12,F3:F12)</f>
        <v>0.966026864858593</v>
      </c>
    </row>
    <row r="4" spans="1:7">
      <c r="A4" s="10" t="s">
        <v>23</v>
      </c>
      <c r="B4" s="2">
        <v>-475</v>
      </c>
      <c r="C4" s="10">
        <f t="shared" ref="C4:C12" si="0">C3+B4-65.52</f>
        <v>2093.96</v>
      </c>
      <c r="E4" s="10">
        <v>2105</v>
      </c>
      <c r="F4" s="10">
        <v>1538</v>
      </c>
      <c r="G4" s="10">
        <v>1538</v>
      </c>
    </row>
    <row r="5" spans="1:7">
      <c r="A5" s="10" t="s">
        <v>24</v>
      </c>
      <c r="B5" s="2">
        <v>1000</v>
      </c>
      <c r="C5" s="10">
        <f t="shared" si="0"/>
        <v>3028.44</v>
      </c>
      <c r="E5" s="10">
        <v>2883</v>
      </c>
      <c r="F5" s="10">
        <v>2326</v>
      </c>
      <c r="G5" s="10">
        <v>2326</v>
      </c>
    </row>
    <row r="6" spans="1:7">
      <c r="A6" s="10" t="s">
        <v>25</v>
      </c>
      <c r="B6" s="2">
        <v>1150</v>
      </c>
      <c r="C6" s="10">
        <f t="shared" si="0"/>
        <v>4112.92</v>
      </c>
      <c r="E6" s="10">
        <v>3845</v>
      </c>
      <c r="F6" s="10">
        <v>3479</v>
      </c>
      <c r="G6" s="10">
        <v>3479</v>
      </c>
    </row>
    <row r="7" spans="1:7">
      <c r="A7" s="10" t="s">
        <v>26</v>
      </c>
      <c r="B7" s="2">
        <v>675</v>
      </c>
      <c r="C7" s="10">
        <f t="shared" si="0"/>
        <v>4722.4</v>
      </c>
      <c r="E7" s="10">
        <v>4454</v>
      </c>
      <c r="F7" s="10">
        <v>4291</v>
      </c>
      <c r="G7" s="10">
        <v>4291</v>
      </c>
    </row>
    <row r="8" spans="1:7">
      <c r="A8" s="10" t="s">
        <v>27</v>
      </c>
      <c r="B8" s="2">
        <v>350</v>
      </c>
      <c r="C8" s="10">
        <f t="shared" si="0"/>
        <v>5006.88</v>
      </c>
      <c r="E8" s="10">
        <v>5049</v>
      </c>
      <c r="F8" s="10">
        <v>4714</v>
      </c>
      <c r="G8" s="10">
        <v>4714</v>
      </c>
    </row>
    <row r="9" spans="1:7">
      <c r="A9" s="10" t="s">
        <v>28</v>
      </c>
      <c r="B9" s="2">
        <v>-250</v>
      </c>
      <c r="C9" s="10">
        <f t="shared" si="0"/>
        <v>4691.36</v>
      </c>
      <c r="E9" s="10">
        <v>4491</v>
      </c>
      <c r="F9" s="10">
        <v>4133</v>
      </c>
      <c r="G9" s="10">
        <v>4133</v>
      </c>
    </row>
    <row r="10" spans="1:7">
      <c r="A10" s="10" t="s">
        <v>29</v>
      </c>
      <c r="B10" s="2">
        <v>-375</v>
      </c>
      <c r="C10" s="10">
        <f t="shared" si="0"/>
        <v>4250.84</v>
      </c>
      <c r="E10" s="10">
        <v>4038</v>
      </c>
      <c r="F10" s="10">
        <v>3647</v>
      </c>
      <c r="G10" s="10">
        <v>3647</v>
      </c>
    </row>
    <row r="11" spans="1:7">
      <c r="A11" s="10" t="s">
        <v>30</v>
      </c>
      <c r="B11" s="2">
        <v>-475</v>
      </c>
      <c r="C11" s="10">
        <f t="shared" si="0"/>
        <v>3710.32</v>
      </c>
      <c r="E11" s="10">
        <v>3701</v>
      </c>
      <c r="F11" s="10">
        <v>3505</v>
      </c>
      <c r="G11" s="10">
        <v>3505</v>
      </c>
    </row>
    <row r="12" spans="1:7">
      <c r="A12" s="10" t="s">
        <v>31</v>
      </c>
      <c r="B12" s="2">
        <v>650</v>
      </c>
      <c r="C12" s="10">
        <f t="shared" si="0"/>
        <v>4294.8</v>
      </c>
      <c r="E12" s="10">
        <v>4333</v>
      </c>
      <c r="F12" s="10">
        <v>4001</v>
      </c>
      <c r="G12" s="10">
        <v>4001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13"/>
  <sheetViews>
    <sheetView zoomScale="220" zoomScaleNormal="220" workbookViewId="0">
      <selection activeCell="D9" sqref="D9"/>
    </sheetView>
  </sheetViews>
  <sheetFormatPr defaultColWidth="9" defaultRowHeight="13.5"/>
  <cols>
    <col min="1" max="5" width="9" style="8"/>
    <col min="6" max="11" width="9.375" style="8"/>
    <col min="12" max="16384" width="9" style="8"/>
  </cols>
  <sheetData>
    <row r="2" spans="3:4">
      <c r="C2" s="8" t="s">
        <v>50</v>
      </c>
      <c r="D2" s="8" t="s">
        <v>51</v>
      </c>
    </row>
    <row r="3" spans="6:6">
      <c r="F3" s="8">
        <v>288</v>
      </c>
    </row>
    <row r="4" spans="2:6">
      <c r="B4" s="8" t="s">
        <v>52</v>
      </c>
      <c r="C4" s="8">
        <f>SUM(F4)</f>
        <v>0.04</v>
      </c>
      <c r="D4" s="8">
        <f>(13*50+200+300)*C4/10</f>
        <v>4.6</v>
      </c>
      <c r="F4" s="8">
        <f>1-F3/300</f>
        <v>0.04</v>
      </c>
    </row>
    <row r="5" spans="6:10">
      <c r="F5" s="8">
        <v>276</v>
      </c>
      <c r="G5" s="8">
        <v>268</v>
      </c>
      <c r="H5" s="8">
        <v>276</v>
      </c>
      <c r="I5" s="8">
        <v>260</v>
      </c>
      <c r="J5" s="8">
        <v>280</v>
      </c>
    </row>
    <row r="6" spans="2:10">
      <c r="B6" s="8" t="s">
        <v>53</v>
      </c>
      <c r="C6" s="8">
        <f>SUM(F6:J6)</f>
        <v>0.466666666666667</v>
      </c>
      <c r="D6" s="8">
        <f>(8*50+150+150)*C6/10</f>
        <v>32.6666666666667</v>
      </c>
      <c r="F6" s="8">
        <f>1-F5/300</f>
        <v>0.08</v>
      </c>
      <c r="G6" s="8">
        <f>1-G5/300</f>
        <v>0.106666666666667</v>
      </c>
      <c r="H6" s="8">
        <f>1-H5/300</f>
        <v>0.08</v>
      </c>
      <c r="I6" s="8">
        <f>1-I5/300</f>
        <v>0.133333333333333</v>
      </c>
      <c r="J6" s="8">
        <f>1-J5/300</f>
        <v>0.0666666666666667</v>
      </c>
    </row>
    <row r="7" spans="6:11">
      <c r="F7" s="8">
        <v>1476</v>
      </c>
      <c r="G7" s="8">
        <v>2708</v>
      </c>
      <c r="H7" s="8">
        <v>2484</v>
      </c>
      <c r="I7" s="8">
        <v>3160</v>
      </c>
      <c r="J7" s="8">
        <v>1296</v>
      </c>
      <c r="K7" s="8">
        <v>3836</v>
      </c>
    </row>
    <row r="8" spans="2:11">
      <c r="B8" s="8" t="s">
        <v>54</v>
      </c>
      <c r="C8" s="8">
        <f>SUM(F8:K8)</f>
        <v>2.26</v>
      </c>
      <c r="D8" s="8">
        <f>125*(C8)/10</f>
        <v>28.25</v>
      </c>
      <c r="F8" s="8">
        <f t="shared" ref="F8:K8" si="0">1-F7/4000</f>
        <v>0.631</v>
      </c>
      <c r="G8" s="8">
        <f t="shared" si="0"/>
        <v>0.323</v>
      </c>
      <c r="H8" s="8">
        <f t="shared" si="0"/>
        <v>0.379</v>
      </c>
      <c r="I8" s="8">
        <f t="shared" si="0"/>
        <v>0.21</v>
      </c>
      <c r="J8" s="8">
        <f t="shared" si="0"/>
        <v>0.676</v>
      </c>
      <c r="K8" s="8">
        <f t="shared" si="0"/>
        <v>0.041</v>
      </c>
    </row>
    <row r="9" spans="2:4">
      <c r="B9" s="8" t="s">
        <v>55</v>
      </c>
      <c r="D9" s="8">
        <f>SUM(D3:D8)</f>
        <v>65.5166666666667</v>
      </c>
    </row>
    <row r="10" spans="1:10">
      <c r="A10" s="9"/>
      <c r="F10" s="8">
        <v>1476</v>
      </c>
      <c r="G10" s="8">
        <v>2708</v>
      </c>
      <c r="H10" s="8">
        <v>2484</v>
      </c>
      <c r="I10" s="8">
        <v>3160</v>
      </c>
      <c r="J10" s="8">
        <v>1296</v>
      </c>
    </row>
    <row r="11" spans="1:10">
      <c r="A11" s="9" t="s">
        <v>56</v>
      </c>
      <c r="B11" s="8" t="s">
        <v>57</v>
      </c>
      <c r="C11" s="8">
        <f>SUM(F11:J11)</f>
        <v>2.219</v>
      </c>
      <c r="D11" s="8">
        <f>125*(C11)/10</f>
        <v>27.7375</v>
      </c>
      <c r="F11" s="8">
        <f>1-F10/4000</f>
        <v>0.631</v>
      </c>
      <c r="G11" s="8">
        <f>1-G10/4000</f>
        <v>0.323</v>
      </c>
      <c r="H11" s="8">
        <f>1-H10/4000</f>
        <v>0.379</v>
      </c>
      <c r="I11" s="8">
        <f>1-I10/4000</f>
        <v>0.21</v>
      </c>
      <c r="J11" s="8">
        <f>1-J10/4000</f>
        <v>0.676</v>
      </c>
    </row>
    <row r="12" spans="1:4">
      <c r="A12" s="9"/>
      <c r="B12" s="8" t="s">
        <v>58</v>
      </c>
      <c r="D12" s="8">
        <f>125*(C12)/25</f>
        <v>0</v>
      </c>
    </row>
    <row r="13" spans="1:4">
      <c r="A13" s="9"/>
      <c r="B13" s="8" t="s">
        <v>59</v>
      </c>
      <c r="D13" s="8">
        <f>125*(C13)/25</f>
        <v>0</v>
      </c>
    </row>
  </sheetData>
  <mergeCells count="1">
    <mergeCell ref="A11:A1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zoomScale="190" zoomScaleNormal="190" workbookViewId="0">
      <selection activeCell="F3" sqref="F3:F9"/>
    </sheetView>
  </sheetViews>
  <sheetFormatPr defaultColWidth="9" defaultRowHeight="13.5" outlineLevelCol="5"/>
  <cols>
    <col min="1" max="1" width="10.375" style="4"/>
    <col min="2" max="2" width="13.75" style="4"/>
    <col min="3" max="3" width="11.9083333333333" style="4" customWidth="1"/>
    <col min="4" max="4" width="10.375" style="4"/>
    <col min="5" max="6" width="9.375" style="4"/>
    <col min="7" max="7" width="11.5" style="4"/>
    <col min="8" max="16384" width="9" style="4"/>
  </cols>
  <sheetData>
    <row r="1" spans="1:5">
      <c r="A1" s="4" t="s">
        <v>60</v>
      </c>
      <c r="E1" s="4" t="s">
        <v>61</v>
      </c>
    </row>
    <row r="2" ht="15.75" spans="1:5">
      <c r="A2" s="5"/>
      <c r="B2" s="5">
        <v>0</v>
      </c>
      <c r="C2" s="4">
        <v>65.52</v>
      </c>
      <c r="E2" s="4">
        <v>0</v>
      </c>
    </row>
    <row r="3" ht="15.75" spans="1:6">
      <c r="A3" s="6" t="s">
        <v>7</v>
      </c>
      <c r="B3" s="7">
        <v>382.901772</v>
      </c>
      <c r="E3" s="4" t="s">
        <v>7</v>
      </c>
      <c r="F3" s="4">
        <v>790.802476</v>
      </c>
    </row>
    <row r="4" ht="15.75" spans="1:6">
      <c r="A4" s="6" t="s">
        <v>10</v>
      </c>
      <c r="B4" s="7">
        <v>177.467098</v>
      </c>
      <c r="E4" s="4" t="s">
        <v>8</v>
      </c>
      <c r="F4" s="4">
        <v>325.713051</v>
      </c>
    </row>
    <row r="5" ht="15.75" spans="1:6">
      <c r="A5" s="6" t="s">
        <v>13</v>
      </c>
      <c r="B5" s="7">
        <v>989.198988</v>
      </c>
      <c r="E5" s="4" t="s">
        <v>10</v>
      </c>
      <c r="F5" s="4">
        <v>415.834477</v>
      </c>
    </row>
    <row r="6" ht="15.75" spans="1:6">
      <c r="A6" s="6" t="s">
        <v>21</v>
      </c>
      <c r="B6" s="7">
        <v>-734.602994</v>
      </c>
      <c r="E6" s="4" t="s">
        <v>13</v>
      </c>
      <c r="F6" s="4">
        <v>1151.939574</v>
      </c>
    </row>
    <row r="7" ht="15.75" spans="1:6">
      <c r="A7" s="6"/>
      <c r="B7" s="7"/>
      <c r="E7" s="4" t="s">
        <v>14</v>
      </c>
      <c r="F7" s="4">
        <v>500.915951</v>
      </c>
    </row>
    <row r="8" ht="15.75" spans="1:6">
      <c r="A8" s="6"/>
      <c r="B8" s="7"/>
      <c r="E8" s="4" t="s">
        <v>20</v>
      </c>
      <c r="F8" s="4">
        <v>622.581711</v>
      </c>
    </row>
    <row r="9" spans="5:6">
      <c r="E9" s="4" t="s">
        <v>21</v>
      </c>
      <c r="F9" s="4">
        <v>-1460.707642</v>
      </c>
    </row>
  </sheetData>
  <mergeCells count="2">
    <mergeCell ref="A1:C1"/>
    <mergeCell ref="E1:F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6"/>
  <sheetViews>
    <sheetView zoomScale="160" zoomScaleNormal="160" workbookViewId="0">
      <selection activeCell="B12" sqref="B12:C22"/>
    </sheetView>
  </sheetViews>
  <sheetFormatPr defaultColWidth="9" defaultRowHeight="13.5"/>
  <cols>
    <col min="1" max="1" width="9" style="2"/>
    <col min="2" max="3" width="13.75" style="2"/>
    <col min="4" max="4" width="9" style="2" customWidth="1"/>
    <col min="5" max="9" width="9" style="2"/>
    <col min="10" max="11" width="9" style="2" customWidth="1"/>
    <col min="12" max="12" width="9" style="2"/>
    <col min="13" max="14" width="9" style="2" customWidth="1"/>
    <col min="15" max="16384" width="9" style="2"/>
  </cols>
  <sheetData>
    <row r="1" s="1" customFormat="1" spans="1:23">
      <c r="A1" s="2" t="s">
        <v>0</v>
      </c>
      <c r="B1" s="2" t="s">
        <v>1</v>
      </c>
      <c r="C1" s="3" t="s">
        <v>62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="1" customFormat="1" spans="1:23">
      <c r="A2" s="2" t="s">
        <v>22</v>
      </c>
      <c r="B2" s="2">
        <v>700</v>
      </c>
      <c r="C2" s="3">
        <f>B2-65.52</f>
        <v>634.48</v>
      </c>
      <c r="D2" s="3">
        <v>1</v>
      </c>
      <c r="E2" s="3">
        <v>1</v>
      </c>
      <c r="F2" s="3">
        <v>0</v>
      </c>
      <c r="G2" s="3">
        <v>1</v>
      </c>
      <c r="H2" s="3">
        <v>0</v>
      </c>
      <c r="I2" s="3">
        <v>0</v>
      </c>
      <c r="J2" s="3">
        <v>1</v>
      </c>
      <c r="K2" s="3">
        <v>0</v>
      </c>
      <c r="L2" s="3">
        <v>1</v>
      </c>
      <c r="M2" s="3">
        <v>0</v>
      </c>
      <c r="N2" s="3">
        <v>0</v>
      </c>
      <c r="O2" s="3">
        <v>0</v>
      </c>
      <c r="P2" s="3">
        <v>1</v>
      </c>
      <c r="Q2" s="3">
        <v>0</v>
      </c>
      <c r="R2" s="3">
        <v>1</v>
      </c>
      <c r="S2" s="3">
        <v>0</v>
      </c>
      <c r="T2" s="3">
        <v>1</v>
      </c>
      <c r="U2" s="3">
        <v>1</v>
      </c>
      <c r="V2" s="3">
        <v>0</v>
      </c>
      <c r="W2" s="3">
        <v>11401</v>
      </c>
    </row>
    <row r="3" s="1" customFormat="1" spans="1:23">
      <c r="A3" s="2" t="s">
        <v>23</v>
      </c>
      <c r="B3" s="2">
        <v>-475</v>
      </c>
      <c r="C3" s="3">
        <f t="shared" ref="C3:C11" si="0">B3-65.52</f>
        <v>-540.52</v>
      </c>
      <c r="D3" s="3">
        <v>1</v>
      </c>
      <c r="E3" s="3">
        <v>0</v>
      </c>
      <c r="F3" s="3">
        <v>1</v>
      </c>
      <c r="G3" s="3">
        <v>0</v>
      </c>
      <c r="H3" s="3">
        <v>0</v>
      </c>
      <c r="I3" s="3">
        <v>1</v>
      </c>
      <c r="J3" s="3">
        <v>1</v>
      </c>
      <c r="K3" s="3">
        <v>0</v>
      </c>
      <c r="L3" s="3">
        <v>0</v>
      </c>
      <c r="M3" s="3">
        <v>0</v>
      </c>
      <c r="N3" s="3">
        <v>1</v>
      </c>
      <c r="O3" s="3">
        <v>1</v>
      </c>
      <c r="P3" s="3">
        <v>1</v>
      </c>
      <c r="Q3" s="3">
        <v>0</v>
      </c>
      <c r="R3" s="3">
        <v>1</v>
      </c>
      <c r="S3" s="3">
        <v>0</v>
      </c>
      <c r="T3" s="3">
        <v>0</v>
      </c>
      <c r="U3" s="3">
        <v>1</v>
      </c>
      <c r="V3" s="3">
        <v>0</v>
      </c>
      <c r="W3" s="3">
        <v>12901</v>
      </c>
    </row>
    <row r="4" s="1" customFormat="1" spans="1:23">
      <c r="A4" s="2" t="s">
        <v>24</v>
      </c>
      <c r="B4" s="2">
        <v>1000</v>
      </c>
      <c r="C4" s="3">
        <f t="shared" si="0"/>
        <v>934.48</v>
      </c>
      <c r="D4" s="3">
        <v>1</v>
      </c>
      <c r="E4" s="3">
        <v>0</v>
      </c>
      <c r="F4" s="3">
        <v>0</v>
      </c>
      <c r="G4" s="3">
        <v>0</v>
      </c>
      <c r="H4" s="3">
        <v>1</v>
      </c>
      <c r="I4" s="3">
        <v>0</v>
      </c>
      <c r="J4" s="3">
        <v>1</v>
      </c>
      <c r="K4" s="3">
        <v>0</v>
      </c>
      <c r="L4" s="3">
        <v>1</v>
      </c>
      <c r="M4" s="3">
        <v>0</v>
      </c>
      <c r="N4" s="3">
        <v>1</v>
      </c>
      <c r="O4" s="3">
        <v>0</v>
      </c>
      <c r="P4" s="3">
        <v>1</v>
      </c>
      <c r="Q4" s="3">
        <v>1</v>
      </c>
      <c r="R4" s="3">
        <v>0</v>
      </c>
      <c r="S4" s="3">
        <v>0</v>
      </c>
      <c r="T4" s="3">
        <v>1</v>
      </c>
      <c r="U4" s="3">
        <v>1</v>
      </c>
      <c r="V4" s="3">
        <v>0</v>
      </c>
      <c r="W4" s="3">
        <v>13901</v>
      </c>
    </row>
    <row r="5" s="1" customFormat="1" spans="1:23">
      <c r="A5" s="2" t="s">
        <v>25</v>
      </c>
      <c r="B5" s="2">
        <v>1150</v>
      </c>
      <c r="C5" s="3">
        <f t="shared" si="0"/>
        <v>1084.48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0</v>
      </c>
      <c r="J5" s="3">
        <v>1</v>
      </c>
      <c r="K5" s="3">
        <v>0</v>
      </c>
      <c r="L5" s="3">
        <v>1</v>
      </c>
      <c r="M5" s="3">
        <v>0</v>
      </c>
      <c r="N5" s="3">
        <v>0</v>
      </c>
      <c r="O5" s="3">
        <v>0</v>
      </c>
      <c r="P5" s="3">
        <v>1</v>
      </c>
      <c r="Q5" s="3">
        <v>0</v>
      </c>
      <c r="R5" s="3">
        <v>1</v>
      </c>
      <c r="S5" s="3">
        <v>0</v>
      </c>
      <c r="T5" s="3">
        <v>0</v>
      </c>
      <c r="U5" s="3">
        <v>1</v>
      </c>
      <c r="V5" s="3">
        <v>0</v>
      </c>
      <c r="W5" s="3">
        <v>16401</v>
      </c>
    </row>
    <row r="6" s="1" customFormat="1" spans="1:23">
      <c r="A6" s="2" t="s">
        <v>26</v>
      </c>
      <c r="B6" s="2">
        <v>675</v>
      </c>
      <c r="C6" s="3">
        <f t="shared" si="0"/>
        <v>609.48</v>
      </c>
      <c r="D6" s="3">
        <v>1</v>
      </c>
      <c r="E6" s="3">
        <v>1</v>
      </c>
      <c r="F6" s="3">
        <v>0</v>
      </c>
      <c r="G6" s="3">
        <v>1</v>
      </c>
      <c r="H6" s="3">
        <v>1</v>
      </c>
      <c r="I6" s="3">
        <v>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1</v>
      </c>
      <c r="Q6" s="3">
        <v>1</v>
      </c>
      <c r="R6" s="3">
        <v>1</v>
      </c>
      <c r="S6" s="3">
        <v>1</v>
      </c>
      <c r="T6" s="3">
        <v>0</v>
      </c>
      <c r="U6" s="3">
        <v>1</v>
      </c>
      <c r="V6" s="3">
        <v>0</v>
      </c>
      <c r="W6" s="3">
        <v>14401</v>
      </c>
    </row>
    <row r="7" s="1" customFormat="1" spans="1:23">
      <c r="A7" s="2" t="s">
        <v>27</v>
      </c>
      <c r="B7" s="2">
        <v>350</v>
      </c>
      <c r="C7" s="3">
        <f t="shared" si="0"/>
        <v>284.48</v>
      </c>
      <c r="D7" s="3">
        <v>1</v>
      </c>
      <c r="E7" s="3">
        <v>0</v>
      </c>
      <c r="F7" s="3">
        <v>1</v>
      </c>
      <c r="G7" s="3">
        <v>0</v>
      </c>
      <c r="H7" s="3">
        <v>0</v>
      </c>
      <c r="I7" s="3">
        <v>0</v>
      </c>
      <c r="J7" s="3">
        <v>1</v>
      </c>
      <c r="K7" s="3">
        <v>0</v>
      </c>
      <c r="L7" s="3">
        <v>1</v>
      </c>
      <c r="M7" s="3">
        <v>0</v>
      </c>
      <c r="N7" s="3">
        <v>1</v>
      </c>
      <c r="O7" s="3">
        <v>0</v>
      </c>
      <c r="P7" s="3">
        <v>1</v>
      </c>
      <c r="Q7" s="3">
        <v>1</v>
      </c>
      <c r="R7" s="3">
        <v>1</v>
      </c>
      <c r="S7" s="3">
        <v>1</v>
      </c>
      <c r="T7" s="3">
        <v>0</v>
      </c>
      <c r="U7" s="3">
        <v>0</v>
      </c>
      <c r="V7" s="3">
        <v>0</v>
      </c>
      <c r="W7" s="3">
        <v>11401</v>
      </c>
    </row>
    <row r="8" s="1" customFormat="1" spans="1:23">
      <c r="A8" s="2" t="s">
        <v>28</v>
      </c>
      <c r="B8" s="2">
        <v>-250</v>
      </c>
      <c r="C8" s="3">
        <f t="shared" si="0"/>
        <v>-315.52</v>
      </c>
      <c r="D8" s="3">
        <v>1</v>
      </c>
      <c r="E8" s="3">
        <v>0</v>
      </c>
      <c r="F8" s="3">
        <v>0</v>
      </c>
      <c r="G8" s="3">
        <v>1</v>
      </c>
      <c r="H8" s="3">
        <v>1</v>
      </c>
      <c r="I8" s="3">
        <v>1</v>
      </c>
      <c r="J8" s="3">
        <v>1</v>
      </c>
      <c r="K8" s="3">
        <v>0</v>
      </c>
      <c r="L8" s="3">
        <v>1</v>
      </c>
      <c r="M8" s="3">
        <v>0</v>
      </c>
      <c r="N8" s="3">
        <v>0</v>
      </c>
      <c r="O8" s="3">
        <v>1</v>
      </c>
      <c r="P8" s="3">
        <v>0</v>
      </c>
      <c r="Q8" s="3">
        <v>0</v>
      </c>
      <c r="R8" s="3">
        <v>1</v>
      </c>
      <c r="S8" s="3">
        <v>0</v>
      </c>
      <c r="T8" s="3">
        <v>0</v>
      </c>
      <c r="U8" s="3">
        <v>1</v>
      </c>
      <c r="V8" s="3">
        <v>0</v>
      </c>
      <c r="W8" s="3">
        <v>14401</v>
      </c>
    </row>
    <row r="9" s="1" customFormat="1" spans="1:23">
      <c r="A9" s="2" t="s">
        <v>29</v>
      </c>
      <c r="B9" s="2">
        <v>-375</v>
      </c>
      <c r="C9" s="3">
        <f t="shared" si="0"/>
        <v>-440.52</v>
      </c>
      <c r="D9" s="3">
        <v>1</v>
      </c>
      <c r="E9" s="3">
        <v>1</v>
      </c>
      <c r="F9" s="3">
        <v>1</v>
      </c>
      <c r="G9" s="3">
        <v>1</v>
      </c>
      <c r="H9" s="3">
        <v>0</v>
      </c>
      <c r="I9" s="3">
        <v>1</v>
      </c>
      <c r="J9" s="3">
        <v>0</v>
      </c>
      <c r="K9" s="3">
        <v>0</v>
      </c>
      <c r="L9" s="3">
        <v>0</v>
      </c>
      <c r="M9" s="3">
        <v>0</v>
      </c>
      <c r="N9" s="3">
        <v>1</v>
      </c>
      <c r="O9" s="3">
        <v>1</v>
      </c>
      <c r="P9" s="3">
        <v>1</v>
      </c>
      <c r="Q9" s="3">
        <v>0</v>
      </c>
      <c r="R9" s="3">
        <v>1</v>
      </c>
      <c r="S9" s="3">
        <v>0</v>
      </c>
      <c r="T9" s="3">
        <v>0</v>
      </c>
      <c r="U9" s="3">
        <v>0</v>
      </c>
      <c r="V9" s="3">
        <v>0</v>
      </c>
      <c r="W9" s="3">
        <v>13401</v>
      </c>
    </row>
    <row r="10" s="1" customFormat="1" spans="1:23">
      <c r="A10" s="2" t="s">
        <v>30</v>
      </c>
      <c r="B10" s="2">
        <v>-475</v>
      </c>
      <c r="C10" s="3">
        <f t="shared" si="0"/>
        <v>-540.52</v>
      </c>
      <c r="D10" s="3">
        <v>1</v>
      </c>
      <c r="E10" s="3">
        <v>1</v>
      </c>
      <c r="F10" s="3">
        <v>1</v>
      </c>
      <c r="G10" s="3">
        <v>0</v>
      </c>
      <c r="H10" s="3">
        <v>0</v>
      </c>
      <c r="I10" s="3">
        <v>1</v>
      </c>
      <c r="J10" s="3">
        <v>1</v>
      </c>
      <c r="K10" s="3">
        <v>0</v>
      </c>
      <c r="L10" s="3">
        <v>1</v>
      </c>
      <c r="M10" s="3">
        <v>0</v>
      </c>
      <c r="N10" s="3">
        <v>1</v>
      </c>
      <c r="O10" s="3">
        <v>1</v>
      </c>
      <c r="P10" s="3">
        <v>0</v>
      </c>
      <c r="Q10" s="3">
        <v>0</v>
      </c>
      <c r="R10" s="3">
        <v>0</v>
      </c>
      <c r="S10" s="3">
        <v>0</v>
      </c>
      <c r="T10" s="3">
        <v>1</v>
      </c>
      <c r="U10" s="3">
        <v>1</v>
      </c>
      <c r="V10" s="3">
        <v>0</v>
      </c>
      <c r="W10" s="3">
        <v>17401</v>
      </c>
    </row>
    <row r="11" s="1" customFormat="1" spans="1:23">
      <c r="A11" s="2" t="s">
        <v>31</v>
      </c>
      <c r="B11" s="2">
        <v>650</v>
      </c>
      <c r="C11" s="3">
        <f t="shared" si="0"/>
        <v>584.48</v>
      </c>
      <c r="D11" s="3">
        <v>0</v>
      </c>
      <c r="E11" s="3">
        <v>0</v>
      </c>
      <c r="F11" s="3">
        <v>1</v>
      </c>
      <c r="G11" s="3">
        <v>1</v>
      </c>
      <c r="H11" s="3">
        <v>0</v>
      </c>
      <c r="I11" s="3">
        <v>0</v>
      </c>
      <c r="J11" s="3">
        <v>1</v>
      </c>
      <c r="K11" s="3">
        <v>0</v>
      </c>
      <c r="L11" s="3">
        <v>1</v>
      </c>
      <c r="M11" s="3">
        <v>0</v>
      </c>
      <c r="N11" s="3">
        <v>0</v>
      </c>
      <c r="O11" s="3">
        <v>0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3">
        <v>0</v>
      </c>
      <c r="V11" s="3">
        <v>0</v>
      </c>
      <c r="W11" s="3">
        <v>11901</v>
      </c>
    </row>
    <row r="12" s="2" customFormat="1" spans="1:23">
      <c r="A12" s="2" t="s">
        <v>22</v>
      </c>
      <c r="B12" s="2">
        <v>175</v>
      </c>
      <c r="C12" s="3">
        <f>B12-37.17</f>
        <v>137.83</v>
      </c>
      <c r="D12" s="3">
        <v>0</v>
      </c>
      <c r="E12" s="3">
        <v>0</v>
      </c>
      <c r="F12" s="3">
        <v>1</v>
      </c>
      <c r="G12" s="3">
        <v>1</v>
      </c>
      <c r="H12" s="3">
        <v>0</v>
      </c>
      <c r="I12" s="3">
        <v>0</v>
      </c>
      <c r="J12" s="3">
        <v>0</v>
      </c>
      <c r="K12" s="3">
        <v>0</v>
      </c>
      <c r="L12" s="3">
        <v>1</v>
      </c>
      <c r="M12" s="3">
        <v>0</v>
      </c>
      <c r="N12" s="3">
        <v>1</v>
      </c>
      <c r="O12" s="3">
        <v>1</v>
      </c>
      <c r="P12" s="3">
        <v>0</v>
      </c>
      <c r="Q12" s="3">
        <v>0</v>
      </c>
      <c r="R12" s="3">
        <v>0</v>
      </c>
      <c r="S12" s="3">
        <v>1</v>
      </c>
      <c r="T12" s="3">
        <v>1</v>
      </c>
      <c r="U12" s="3">
        <v>1</v>
      </c>
      <c r="V12" s="3">
        <v>1</v>
      </c>
      <c r="W12" s="3">
        <v>14401</v>
      </c>
    </row>
    <row r="13" s="2" customFormat="1" spans="1:23">
      <c r="A13" s="2" t="s">
        <v>23</v>
      </c>
      <c r="B13" s="2">
        <v>-325</v>
      </c>
      <c r="C13" s="3">
        <f t="shared" ref="C13:C36" si="1">B13-37.17</f>
        <v>-362.17</v>
      </c>
      <c r="D13" s="3">
        <v>1</v>
      </c>
      <c r="E13" s="3">
        <v>1</v>
      </c>
      <c r="F13" s="3">
        <v>1</v>
      </c>
      <c r="G13" s="3">
        <v>1</v>
      </c>
      <c r="H13" s="3">
        <v>0</v>
      </c>
      <c r="I13" s="3">
        <v>1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1</v>
      </c>
      <c r="Q13" s="3">
        <v>0</v>
      </c>
      <c r="R13" s="3">
        <v>0</v>
      </c>
      <c r="S13" s="3">
        <v>1</v>
      </c>
      <c r="T13" s="3">
        <v>0</v>
      </c>
      <c r="U13" s="3">
        <v>0</v>
      </c>
      <c r="V13" s="3">
        <v>1</v>
      </c>
      <c r="W13" s="3">
        <v>13401</v>
      </c>
    </row>
    <row r="14" s="2" customFormat="1" spans="1:23">
      <c r="A14" s="2" t="s">
        <v>24</v>
      </c>
      <c r="B14" s="2">
        <v>-975</v>
      </c>
      <c r="C14" s="3">
        <f t="shared" si="1"/>
        <v>-1012.17</v>
      </c>
      <c r="D14" s="3">
        <v>1</v>
      </c>
      <c r="E14" s="3">
        <v>0</v>
      </c>
      <c r="F14" s="3">
        <v>1</v>
      </c>
      <c r="G14" s="3">
        <v>0</v>
      </c>
      <c r="H14" s="3">
        <v>0</v>
      </c>
      <c r="I14" s="3">
        <v>1</v>
      </c>
      <c r="J14" s="3">
        <v>0</v>
      </c>
      <c r="K14" s="3">
        <v>0</v>
      </c>
      <c r="L14" s="3">
        <v>1</v>
      </c>
      <c r="M14" s="3">
        <v>0</v>
      </c>
      <c r="N14" s="3">
        <v>1</v>
      </c>
      <c r="O14" s="3">
        <v>1</v>
      </c>
      <c r="P14" s="3">
        <v>0</v>
      </c>
      <c r="Q14" s="3">
        <v>0</v>
      </c>
      <c r="R14" s="3">
        <v>1</v>
      </c>
      <c r="S14" s="3">
        <v>1</v>
      </c>
      <c r="T14" s="3">
        <v>0</v>
      </c>
      <c r="U14" s="3">
        <v>1</v>
      </c>
      <c r="V14" s="3">
        <v>1</v>
      </c>
      <c r="W14" s="3">
        <v>14901</v>
      </c>
    </row>
    <row r="15" s="2" customFormat="1" spans="1:23">
      <c r="A15" s="2" t="s">
        <v>25</v>
      </c>
      <c r="B15" s="2">
        <v>-750</v>
      </c>
      <c r="C15" s="3">
        <f t="shared" si="1"/>
        <v>-787.17</v>
      </c>
      <c r="D15" s="3">
        <v>1</v>
      </c>
      <c r="E15" s="3">
        <v>1</v>
      </c>
      <c r="F15" s="3">
        <v>0</v>
      </c>
      <c r="G15" s="3">
        <v>1</v>
      </c>
      <c r="H15" s="3">
        <v>0</v>
      </c>
      <c r="I15" s="3">
        <v>0</v>
      </c>
      <c r="J15" s="3">
        <v>0</v>
      </c>
      <c r="K15" s="3">
        <v>0</v>
      </c>
      <c r="L15" s="3">
        <v>1</v>
      </c>
      <c r="M15" s="3">
        <v>0</v>
      </c>
      <c r="N15" s="3">
        <v>1</v>
      </c>
      <c r="O15" s="3">
        <v>1</v>
      </c>
      <c r="P15" s="3">
        <v>1</v>
      </c>
      <c r="Q15" s="3">
        <v>0</v>
      </c>
      <c r="R15" s="3">
        <v>0</v>
      </c>
      <c r="S15" s="3">
        <v>0</v>
      </c>
      <c r="T15" s="3">
        <v>1</v>
      </c>
      <c r="U15" s="3">
        <v>0</v>
      </c>
      <c r="V15" s="3">
        <v>1</v>
      </c>
      <c r="W15" s="3">
        <v>12901</v>
      </c>
    </row>
    <row r="16" s="2" customFormat="1" spans="1:23">
      <c r="A16" s="2" t="s">
        <v>26</v>
      </c>
      <c r="B16" s="2">
        <v>-25</v>
      </c>
      <c r="C16" s="3">
        <f t="shared" si="1"/>
        <v>-62.17</v>
      </c>
      <c r="D16" s="3">
        <v>1</v>
      </c>
      <c r="E16" s="3">
        <v>1</v>
      </c>
      <c r="F16" s="3">
        <v>1</v>
      </c>
      <c r="G16" s="3">
        <v>1</v>
      </c>
      <c r="H16" s="3">
        <v>0</v>
      </c>
      <c r="I16" s="3">
        <v>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1</v>
      </c>
      <c r="P16" s="3">
        <v>0</v>
      </c>
      <c r="Q16" s="3">
        <v>0</v>
      </c>
      <c r="R16" s="3">
        <v>0</v>
      </c>
      <c r="S16" s="3">
        <v>1</v>
      </c>
      <c r="T16" s="3">
        <v>0</v>
      </c>
      <c r="U16" s="3">
        <v>1</v>
      </c>
      <c r="V16" s="3">
        <v>1</v>
      </c>
      <c r="W16" s="3">
        <v>13901</v>
      </c>
    </row>
    <row r="17" s="2" customFormat="1" spans="1:23">
      <c r="A17" s="2" t="s">
        <v>27</v>
      </c>
      <c r="B17" s="2">
        <v>-475</v>
      </c>
      <c r="C17" s="3">
        <f t="shared" si="1"/>
        <v>-512.17</v>
      </c>
      <c r="D17" s="3">
        <v>1</v>
      </c>
      <c r="E17" s="3">
        <v>1</v>
      </c>
      <c r="F17" s="3">
        <v>0</v>
      </c>
      <c r="G17" s="3">
        <v>1</v>
      </c>
      <c r="H17" s="3">
        <v>1</v>
      </c>
      <c r="I17" s="3">
        <v>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1</v>
      </c>
      <c r="P17" s="3">
        <v>1</v>
      </c>
      <c r="Q17" s="3">
        <v>1</v>
      </c>
      <c r="R17" s="3">
        <v>0</v>
      </c>
      <c r="S17" s="3">
        <v>1</v>
      </c>
      <c r="T17" s="3">
        <v>0</v>
      </c>
      <c r="U17" s="3">
        <v>0</v>
      </c>
      <c r="V17" s="3">
        <v>1</v>
      </c>
      <c r="W17" s="3">
        <v>14901</v>
      </c>
    </row>
    <row r="18" s="2" customFormat="1" spans="1:23">
      <c r="A18" s="2" t="s">
        <v>28</v>
      </c>
      <c r="B18" s="2">
        <v>575</v>
      </c>
      <c r="C18" s="3">
        <f t="shared" si="1"/>
        <v>537.83</v>
      </c>
      <c r="D18" s="3">
        <v>1</v>
      </c>
      <c r="E18" s="3">
        <v>0</v>
      </c>
      <c r="F18" s="3">
        <v>1</v>
      </c>
      <c r="G18" s="3">
        <v>1</v>
      </c>
      <c r="H18" s="3">
        <v>1</v>
      </c>
      <c r="I18" s="3">
        <v>1</v>
      </c>
      <c r="J18" s="3">
        <v>0</v>
      </c>
      <c r="K18" s="3">
        <v>0</v>
      </c>
      <c r="L18" s="3">
        <v>1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1</v>
      </c>
      <c r="S18" s="3">
        <v>1</v>
      </c>
      <c r="T18" s="3">
        <v>1</v>
      </c>
      <c r="U18" s="3">
        <v>0</v>
      </c>
      <c r="V18" s="3">
        <v>1</v>
      </c>
      <c r="W18" s="3">
        <v>16401</v>
      </c>
    </row>
    <row r="19" s="2" customFormat="1" spans="1:23">
      <c r="A19" s="2" t="s">
        <v>29</v>
      </c>
      <c r="B19" s="2">
        <v>-1900</v>
      </c>
      <c r="C19" s="3">
        <f t="shared" si="1"/>
        <v>-1937.17</v>
      </c>
      <c r="D19" s="3">
        <v>1</v>
      </c>
      <c r="E19" s="3">
        <v>0</v>
      </c>
      <c r="F19" s="3">
        <v>0</v>
      </c>
      <c r="G19" s="3">
        <v>1</v>
      </c>
      <c r="H19" s="3">
        <v>0</v>
      </c>
      <c r="I19" s="3">
        <v>1</v>
      </c>
      <c r="J19" s="3">
        <v>1</v>
      </c>
      <c r="K19" s="3">
        <v>0</v>
      </c>
      <c r="L19" s="3">
        <v>1</v>
      </c>
      <c r="M19" s="3">
        <v>0</v>
      </c>
      <c r="N19" s="3">
        <v>0</v>
      </c>
      <c r="O19" s="3">
        <v>1</v>
      </c>
      <c r="P19" s="3">
        <v>0</v>
      </c>
      <c r="Q19" s="3">
        <v>0</v>
      </c>
      <c r="R19" s="3">
        <v>1</v>
      </c>
      <c r="S19" s="3">
        <v>0</v>
      </c>
      <c r="T19" s="3">
        <v>1</v>
      </c>
      <c r="U19" s="3">
        <v>0</v>
      </c>
      <c r="V19" s="3">
        <v>1</v>
      </c>
      <c r="W19" s="3">
        <v>11901</v>
      </c>
    </row>
    <row r="20" s="2" customFormat="1" spans="1:23">
      <c r="A20" s="2" t="s">
        <v>30</v>
      </c>
      <c r="B20" s="2">
        <v>125</v>
      </c>
      <c r="C20" s="3">
        <f t="shared" si="1"/>
        <v>87.83</v>
      </c>
      <c r="D20" s="3">
        <v>1</v>
      </c>
      <c r="E20" s="3">
        <v>0</v>
      </c>
      <c r="F20" s="3">
        <v>0</v>
      </c>
      <c r="G20" s="3">
        <v>1</v>
      </c>
      <c r="H20" s="3">
        <v>0</v>
      </c>
      <c r="I20" s="3">
        <v>0</v>
      </c>
      <c r="J20" s="3">
        <v>0</v>
      </c>
      <c r="K20" s="3">
        <v>0</v>
      </c>
      <c r="L20" s="3">
        <v>1</v>
      </c>
      <c r="M20" s="3">
        <v>0</v>
      </c>
      <c r="N20" s="3">
        <v>0</v>
      </c>
      <c r="O20" s="3">
        <v>0</v>
      </c>
      <c r="P20" s="3">
        <v>1</v>
      </c>
      <c r="Q20" s="3">
        <v>0</v>
      </c>
      <c r="R20" s="3">
        <v>0</v>
      </c>
      <c r="S20" s="3">
        <v>1</v>
      </c>
      <c r="T20" s="3">
        <v>1</v>
      </c>
      <c r="U20" s="3">
        <v>1</v>
      </c>
      <c r="V20" s="3">
        <v>1</v>
      </c>
      <c r="W20" s="3">
        <v>10401</v>
      </c>
    </row>
    <row r="21" s="2" customFormat="1" spans="1:23">
      <c r="A21" s="2" t="s">
        <v>31</v>
      </c>
      <c r="B21" s="2">
        <v>100</v>
      </c>
      <c r="C21" s="3">
        <f t="shared" si="1"/>
        <v>62.83</v>
      </c>
      <c r="D21" s="3">
        <v>1</v>
      </c>
      <c r="E21" s="3">
        <v>1</v>
      </c>
      <c r="F21" s="3">
        <v>1</v>
      </c>
      <c r="G21" s="3">
        <v>0</v>
      </c>
      <c r="H21" s="3">
        <v>1</v>
      </c>
      <c r="I21" s="3">
        <v>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1</v>
      </c>
      <c r="P21" s="3">
        <v>0</v>
      </c>
      <c r="Q21" s="3">
        <v>0</v>
      </c>
      <c r="R21" s="3">
        <v>0</v>
      </c>
      <c r="S21" s="3">
        <v>1</v>
      </c>
      <c r="T21" s="3">
        <v>0</v>
      </c>
      <c r="U21" s="3">
        <v>1</v>
      </c>
      <c r="V21" s="3">
        <v>1</v>
      </c>
      <c r="W21" s="3">
        <v>17401</v>
      </c>
    </row>
    <row r="22" s="2" customFormat="1" spans="1:23">
      <c r="A22" s="2" t="s">
        <v>32</v>
      </c>
      <c r="B22" s="2">
        <v>0</v>
      </c>
      <c r="C22" s="3">
        <f t="shared" si="1"/>
        <v>-37.17</v>
      </c>
      <c r="D22" s="3">
        <v>1</v>
      </c>
      <c r="E22" s="3">
        <v>1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1</v>
      </c>
      <c r="P22" s="3">
        <v>0</v>
      </c>
      <c r="Q22" s="3">
        <v>0</v>
      </c>
      <c r="R22" s="3">
        <v>1</v>
      </c>
      <c r="S22" s="3">
        <v>0</v>
      </c>
      <c r="T22" s="3">
        <v>1</v>
      </c>
      <c r="U22" s="3">
        <v>1</v>
      </c>
      <c r="V22" s="3">
        <v>1</v>
      </c>
      <c r="W22" s="3">
        <v>12901</v>
      </c>
    </row>
    <row r="23" s="2" customFormat="1" spans="1:23">
      <c r="A23" s="2" t="s">
        <v>33</v>
      </c>
      <c r="B23" s="2">
        <v>300</v>
      </c>
      <c r="C23" s="3">
        <f t="shared" si="1"/>
        <v>262.83</v>
      </c>
      <c r="D23" s="3">
        <v>1</v>
      </c>
      <c r="E23" s="3">
        <v>0</v>
      </c>
      <c r="F23" s="3">
        <v>0</v>
      </c>
      <c r="G23" s="3">
        <v>1</v>
      </c>
      <c r="H23" s="3">
        <v>1</v>
      </c>
      <c r="I23" s="3">
        <v>1</v>
      </c>
      <c r="J23" s="3">
        <v>0</v>
      </c>
      <c r="K23" s="3">
        <v>0</v>
      </c>
      <c r="L23" s="3">
        <v>1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1</v>
      </c>
      <c r="S23" s="3">
        <v>0</v>
      </c>
      <c r="T23" s="3">
        <v>0</v>
      </c>
      <c r="U23" s="3">
        <v>1</v>
      </c>
      <c r="V23" s="3">
        <v>1</v>
      </c>
      <c r="W23" s="3">
        <v>12401</v>
      </c>
    </row>
    <row r="24" s="2" customFormat="1" spans="1:23">
      <c r="A24" s="2" t="s">
        <v>34</v>
      </c>
      <c r="B24" s="2">
        <v>1000</v>
      </c>
      <c r="C24" s="3">
        <f t="shared" si="1"/>
        <v>962.83</v>
      </c>
      <c r="D24" s="3">
        <v>1</v>
      </c>
      <c r="E24" s="3">
        <v>0</v>
      </c>
      <c r="F24" s="3">
        <v>0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>
        <v>1</v>
      </c>
      <c r="M24" s="3">
        <v>0</v>
      </c>
      <c r="N24" s="3">
        <v>1</v>
      </c>
      <c r="O24" s="3">
        <v>0</v>
      </c>
      <c r="P24" s="3">
        <v>0</v>
      </c>
      <c r="Q24" s="3">
        <v>1</v>
      </c>
      <c r="R24" s="3">
        <v>0</v>
      </c>
      <c r="S24" s="3">
        <v>0</v>
      </c>
      <c r="T24" s="3">
        <v>1</v>
      </c>
      <c r="U24" s="3">
        <v>0</v>
      </c>
      <c r="V24" s="3">
        <v>1</v>
      </c>
      <c r="W24" s="3">
        <v>12401</v>
      </c>
    </row>
    <row r="25" s="2" customFormat="1" spans="1:23">
      <c r="A25" s="2" t="s">
        <v>35</v>
      </c>
      <c r="B25" s="2">
        <v>175</v>
      </c>
      <c r="C25" s="3">
        <f t="shared" si="1"/>
        <v>137.83</v>
      </c>
      <c r="D25" s="3">
        <v>1</v>
      </c>
      <c r="E25" s="3">
        <v>1</v>
      </c>
      <c r="F25" s="3">
        <v>0</v>
      </c>
      <c r="G25" s="3">
        <v>1</v>
      </c>
      <c r="H25" s="3">
        <v>1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1</v>
      </c>
      <c r="O25" s="3">
        <v>1</v>
      </c>
      <c r="P25" s="3">
        <v>0</v>
      </c>
      <c r="Q25" s="3">
        <v>0</v>
      </c>
      <c r="R25" s="3">
        <v>1</v>
      </c>
      <c r="S25" s="3">
        <v>0</v>
      </c>
      <c r="T25" s="3">
        <v>0</v>
      </c>
      <c r="U25" s="3">
        <v>0</v>
      </c>
      <c r="V25" s="3">
        <v>1</v>
      </c>
      <c r="W25" s="3">
        <v>11901</v>
      </c>
    </row>
    <row r="26" s="2" customFormat="1" spans="1:23">
      <c r="A26" s="2" t="s">
        <v>36</v>
      </c>
      <c r="B26" s="2">
        <v>950</v>
      </c>
      <c r="C26" s="3">
        <f t="shared" si="1"/>
        <v>912.83</v>
      </c>
      <c r="D26" s="3">
        <v>1</v>
      </c>
      <c r="E26" s="3">
        <v>1</v>
      </c>
      <c r="F26" s="3">
        <v>1</v>
      </c>
      <c r="G26" s="3">
        <v>1</v>
      </c>
      <c r="H26" s="3">
        <v>0</v>
      </c>
      <c r="I26" s="3">
        <v>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1</v>
      </c>
      <c r="T26" s="3">
        <v>1</v>
      </c>
      <c r="U26" s="3">
        <v>0</v>
      </c>
      <c r="V26" s="3">
        <v>1</v>
      </c>
      <c r="W26" s="3">
        <v>12901</v>
      </c>
    </row>
    <row r="27" s="2" customFormat="1" spans="1:23">
      <c r="A27" s="2" t="s">
        <v>37</v>
      </c>
      <c r="B27" s="2">
        <v>-475</v>
      </c>
      <c r="C27" s="3">
        <f t="shared" si="1"/>
        <v>-512.17</v>
      </c>
      <c r="D27" s="3">
        <v>1</v>
      </c>
      <c r="E27" s="3">
        <v>0</v>
      </c>
      <c r="F27" s="3">
        <v>0</v>
      </c>
      <c r="G27" s="3">
        <v>1</v>
      </c>
      <c r="H27" s="3">
        <v>0</v>
      </c>
      <c r="I27" s="3">
        <v>1</v>
      </c>
      <c r="J27" s="3">
        <v>0</v>
      </c>
      <c r="K27" s="3">
        <v>0</v>
      </c>
      <c r="L27" s="3">
        <v>1</v>
      </c>
      <c r="M27" s="3">
        <v>0</v>
      </c>
      <c r="N27" s="3">
        <v>0</v>
      </c>
      <c r="O27" s="3">
        <v>1</v>
      </c>
      <c r="P27" s="3">
        <v>0</v>
      </c>
      <c r="Q27" s="3">
        <v>1</v>
      </c>
      <c r="R27" s="3">
        <v>0</v>
      </c>
      <c r="S27" s="3">
        <v>1</v>
      </c>
      <c r="T27" s="3">
        <v>1</v>
      </c>
      <c r="U27" s="3">
        <v>1</v>
      </c>
      <c r="V27" s="3">
        <v>1</v>
      </c>
      <c r="W27" s="3">
        <v>14401</v>
      </c>
    </row>
    <row r="28" s="2" customFormat="1" spans="1:23">
      <c r="A28" s="2" t="s">
        <v>38</v>
      </c>
      <c r="B28" s="2">
        <v>-1475</v>
      </c>
      <c r="C28" s="3">
        <f t="shared" si="1"/>
        <v>-1512.17</v>
      </c>
      <c r="D28" s="3">
        <v>1</v>
      </c>
      <c r="E28" s="3">
        <v>0</v>
      </c>
      <c r="F28" s="3">
        <v>0</v>
      </c>
      <c r="G28" s="3">
        <v>1</v>
      </c>
      <c r="H28" s="3">
        <v>0</v>
      </c>
      <c r="I28" s="3">
        <v>1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1</v>
      </c>
      <c r="P28" s="3">
        <v>0</v>
      </c>
      <c r="Q28" s="3">
        <v>0</v>
      </c>
      <c r="R28" s="3">
        <v>1</v>
      </c>
      <c r="S28" s="3">
        <v>0</v>
      </c>
      <c r="T28" s="3">
        <v>0</v>
      </c>
      <c r="U28" s="3">
        <v>1</v>
      </c>
      <c r="V28" s="3">
        <v>1</v>
      </c>
      <c r="W28" s="3">
        <v>9901</v>
      </c>
    </row>
    <row r="29" s="2" customFormat="1" spans="1:23">
      <c r="A29" s="2" t="s">
        <v>39</v>
      </c>
      <c r="B29" s="2">
        <v>-1075</v>
      </c>
      <c r="C29" s="3">
        <f t="shared" si="1"/>
        <v>-1112.17</v>
      </c>
      <c r="D29" s="3">
        <v>1</v>
      </c>
      <c r="E29" s="3">
        <v>1</v>
      </c>
      <c r="F29" s="3">
        <v>0</v>
      </c>
      <c r="G29" s="3">
        <v>1</v>
      </c>
      <c r="H29" s="3">
        <v>0</v>
      </c>
      <c r="I29" s="3">
        <v>1</v>
      </c>
      <c r="J29" s="3">
        <v>0</v>
      </c>
      <c r="K29" s="3">
        <v>0</v>
      </c>
      <c r="L29" s="3">
        <v>1</v>
      </c>
      <c r="M29" s="3">
        <v>0</v>
      </c>
      <c r="N29" s="3">
        <v>0</v>
      </c>
      <c r="O29" s="3">
        <v>1</v>
      </c>
      <c r="P29" s="3">
        <v>0</v>
      </c>
      <c r="Q29" s="3">
        <v>0</v>
      </c>
      <c r="R29" s="3">
        <v>1</v>
      </c>
      <c r="S29" s="3">
        <v>0</v>
      </c>
      <c r="T29" s="3">
        <v>1</v>
      </c>
      <c r="U29" s="3">
        <v>1</v>
      </c>
      <c r="V29" s="3">
        <v>1</v>
      </c>
      <c r="W29" s="3">
        <v>14401</v>
      </c>
    </row>
    <row r="30" s="2" customFormat="1" spans="1:23">
      <c r="A30" s="2" t="s">
        <v>40</v>
      </c>
      <c r="B30" s="2">
        <v>-1600</v>
      </c>
      <c r="C30" s="3">
        <f t="shared" si="1"/>
        <v>-1637.17</v>
      </c>
      <c r="D30" s="3">
        <v>1</v>
      </c>
      <c r="E30" s="3">
        <v>1</v>
      </c>
      <c r="F30" s="3">
        <v>0</v>
      </c>
      <c r="G30" s="3">
        <v>0</v>
      </c>
      <c r="H30" s="3">
        <v>0</v>
      </c>
      <c r="I30" s="3">
        <v>1</v>
      </c>
      <c r="J30" s="3">
        <v>1</v>
      </c>
      <c r="K30" s="3">
        <v>0</v>
      </c>
      <c r="L30" s="3">
        <v>1</v>
      </c>
      <c r="M30" s="3">
        <v>0</v>
      </c>
      <c r="N30" s="3">
        <v>1</v>
      </c>
      <c r="O30" s="3">
        <v>1</v>
      </c>
      <c r="P30" s="3">
        <v>0</v>
      </c>
      <c r="Q30" s="3">
        <v>0</v>
      </c>
      <c r="R30" s="3">
        <v>0</v>
      </c>
      <c r="S30" s="3">
        <v>1</v>
      </c>
      <c r="T30" s="3">
        <v>0</v>
      </c>
      <c r="U30" s="3">
        <v>0</v>
      </c>
      <c r="V30" s="3">
        <v>1</v>
      </c>
      <c r="W30" s="3">
        <v>13401</v>
      </c>
    </row>
    <row r="31" s="2" customFormat="1" spans="1:23">
      <c r="A31" s="2" t="s">
        <v>41</v>
      </c>
      <c r="B31" s="2">
        <v>500</v>
      </c>
      <c r="C31" s="3">
        <f t="shared" si="1"/>
        <v>462.83</v>
      </c>
      <c r="D31" s="3">
        <v>1</v>
      </c>
      <c r="E31" s="3">
        <v>1</v>
      </c>
      <c r="F31" s="3">
        <v>0</v>
      </c>
      <c r="G31" s="3">
        <v>1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1</v>
      </c>
      <c r="O31" s="3">
        <v>0</v>
      </c>
      <c r="P31" s="3">
        <v>0</v>
      </c>
      <c r="Q31" s="3">
        <v>0</v>
      </c>
      <c r="R31" s="3">
        <v>0</v>
      </c>
      <c r="S31" s="3">
        <v>1</v>
      </c>
      <c r="T31" s="3">
        <v>1</v>
      </c>
      <c r="U31" s="3">
        <v>1</v>
      </c>
      <c r="V31" s="3">
        <v>1</v>
      </c>
      <c r="W31" s="3">
        <v>10401</v>
      </c>
    </row>
    <row r="32" s="2" customFormat="1" spans="1:23">
      <c r="A32" s="2" t="s">
        <v>42</v>
      </c>
      <c r="B32" s="2">
        <v>-50</v>
      </c>
      <c r="C32" s="3">
        <f t="shared" si="1"/>
        <v>-87.17</v>
      </c>
      <c r="D32" s="3">
        <v>1</v>
      </c>
      <c r="E32" s="3">
        <v>0</v>
      </c>
      <c r="F32" s="3">
        <v>0</v>
      </c>
      <c r="G32" s="3">
        <v>1</v>
      </c>
      <c r="H32" s="3">
        <v>1</v>
      </c>
      <c r="I32" s="3">
        <v>1</v>
      </c>
      <c r="J32" s="3">
        <v>0</v>
      </c>
      <c r="K32" s="3">
        <v>0</v>
      </c>
      <c r="L32" s="3">
        <v>1</v>
      </c>
      <c r="M32" s="3">
        <v>0</v>
      </c>
      <c r="N32" s="3">
        <v>1</v>
      </c>
      <c r="O32" s="3">
        <v>0</v>
      </c>
      <c r="P32" s="3">
        <v>1</v>
      </c>
      <c r="Q32" s="3">
        <v>0</v>
      </c>
      <c r="R32" s="3">
        <v>0</v>
      </c>
      <c r="S32" s="3">
        <v>1</v>
      </c>
      <c r="T32" s="3">
        <v>0</v>
      </c>
      <c r="U32" s="3">
        <v>0</v>
      </c>
      <c r="V32" s="3">
        <v>1</v>
      </c>
      <c r="W32" s="3">
        <v>13901</v>
      </c>
    </row>
    <row r="33" s="2" customFormat="1" spans="1:23">
      <c r="A33" s="2" t="s">
        <v>43</v>
      </c>
      <c r="B33" s="2">
        <v>-975</v>
      </c>
      <c r="C33" s="3">
        <f t="shared" si="1"/>
        <v>-1012.17</v>
      </c>
      <c r="D33" s="3">
        <v>0</v>
      </c>
      <c r="E33" s="3">
        <v>0</v>
      </c>
      <c r="F33" s="3">
        <v>0</v>
      </c>
      <c r="G33" s="3">
        <v>1</v>
      </c>
      <c r="H33" s="3">
        <v>0</v>
      </c>
      <c r="I33" s="3">
        <v>1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1</v>
      </c>
      <c r="P33" s="3">
        <v>0</v>
      </c>
      <c r="Q33" s="3">
        <v>1</v>
      </c>
      <c r="R33" s="3">
        <v>1</v>
      </c>
      <c r="S33" s="3">
        <v>0</v>
      </c>
      <c r="T33" s="3">
        <v>1</v>
      </c>
      <c r="U33" s="3">
        <v>0</v>
      </c>
      <c r="V33" s="3">
        <v>1</v>
      </c>
      <c r="W33" s="3">
        <v>9901</v>
      </c>
    </row>
    <row r="34" s="2" customFormat="1" spans="1:23">
      <c r="A34" s="2" t="s">
        <v>44</v>
      </c>
      <c r="B34" s="2">
        <v>100</v>
      </c>
      <c r="C34" s="3">
        <f t="shared" si="1"/>
        <v>62.83</v>
      </c>
      <c r="D34" s="3">
        <v>0</v>
      </c>
      <c r="E34" s="3">
        <v>1</v>
      </c>
      <c r="F34" s="3">
        <v>1</v>
      </c>
      <c r="G34" s="3">
        <v>1</v>
      </c>
      <c r="H34" s="3">
        <v>0</v>
      </c>
      <c r="I34" s="3">
        <v>1</v>
      </c>
      <c r="J34" s="3">
        <v>0</v>
      </c>
      <c r="K34" s="3">
        <v>0</v>
      </c>
      <c r="L34" s="3">
        <v>0</v>
      </c>
      <c r="M34" s="3">
        <v>0</v>
      </c>
      <c r="N34" s="3">
        <v>1</v>
      </c>
      <c r="O34" s="3">
        <v>0</v>
      </c>
      <c r="P34" s="3">
        <v>1</v>
      </c>
      <c r="Q34" s="3">
        <v>0</v>
      </c>
      <c r="R34" s="3">
        <v>1</v>
      </c>
      <c r="S34" s="3">
        <v>1</v>
      </c>
      <c r="T34" s="3">
        <v>0</v>
      </c>
      <c r="U34" s="3">
        <v>1</v>
      </c>
      <c r="V34" s="3">
        <v>1</v>
      </c>
      <c r="W34" s="3">
        <v>13901</v>
      </c>
    </row>
    <row r="35" s="2" customFormat="1" spans="1:23">
      <c r="A35" s="2" t="s">
        <v>45</v>
      </c>
      <c r="B35" s="2">
        <v>-800</v>
      </c>
      <c r="C35" s="3">
        <f t="shared" si="1"/>
        <v>-837.17</v>
      </c>
      <c r="D35" s="3">
        <v>0</v>
      </c>
      <c r="E35" s="3">
        <v>1</v>
      </c>
      <c r="F35" s="3">
        <v>0</v>
      </c>
      <c r="G35" s="3">
        <v>1</v>
      </c>
      <c r="H35" s="3">
        <v>1</v>
      </c>
      <c r="I35" s="3">
        <v>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1</v>
      </c>
      <c r="P35" s="3">
        <v>1</v>
      </c>
      <c r="Q35" s="3">
        <v>1</v>
      </c>
      <c r="R35" s="3">
        <v>0</v>
      </c>
      <c r="S35" s="3">
        <v>1</v>
      </c>
      <c r="T35" s="3">
        <v>0</v>
      </c>
      <c r="U35" s="3">
        <v>1</v>
      </c>
      <c r="V35" s="3">
        <v>1</v>
      </c>
      <c r="W35" s="3">
        <v>16401</v>
      </c>
    </row>
    <row r="36" s="2" customFormat="1" spans="1:23">
      <c r="A36" s="2" t="s">
        <v>46</v>
      </c>
      <c r="B36" s="2">
        <v>-350</v>
      </c>
      <c r="C36" s="3">
        <f t="shared" si="1"/>
        <v>-387.17</v>
      </c>
      <c r="D36" s="3">
        <v>1</v>
      </c>
      <c r="E36" s="3">
        <v>0</v>
      </c>
      <c r="F36" s="3">
        <v>1</v>
      </c>
      <c r="G36" s="3">
        <v>0</v>
      </c>
      <c r="H36" s="3">
        <v>1</v>
      </c>
      <c r="I36" s="3">
        <v>1</v>
      </c>
      <c r="J36" s="3">
        <v>0</v>
      </c>
      <c r="K36" s="3">
        <v>0</v>
      </c>
      <c r="L36" s="3">
        <v>1</v>
      </c>
      <c r="M36" s="3">
        <v>0</v>
      </c>
      <c r="N36" s="3">
        <v>1</v>
      </c>
      <c r="O36" s="3">
        <v>0</v>
      </c>
      <c r="P36" s="3">
        <v>1</v>
      </c>
      <c r="Q36" s="3">
        <v>1</v>
      </c>
      <c r="R36" s="3">
        <v>0</v>
      </c>
      <c r="S36" s="3">
        <v>0</v>
      </c>
      <c r="T36" s="3">
        <v>0</v>
      </c>
      <c r="U36" s="3">
        <v>0</v>
      </c>
      <c r="V36" s="3">
        <v>1</v>
      </c>
      <c r="W36" s="3">
        <v>15901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汇总</vt:lpstr>
      <vt:lpstr>折线对比1</vt:lpstr>
      <vt:lpstr>额外阳光消耗</vt:lpstr>
      <vt:lpstr>模型参数</vt:lpstr>
      <vt:lpstr>截图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乔荔(2022012959)</cp:lastModifiedBy>
  <dcterms:created xsi:type="dcterms:W3CDTF">2025-02-03T01:50:00Z</dcterms:created>
  <dcterms:modified xsi:type="dcterms:W3CDTF">2025-05-03T23:30:49Z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D4A6D8782FF748E1B7A89F134702C9EF_12</vt:lpwstr>
  </property>
  <property fmtid="{D5CDD505-2E9C-101B-9397-08002B2CF9AE}" pid="3" name="KSOProductBuildVer">
    <vt:lpwstr>2052-11.1.0.14036</vt:lpwstr>
  </property>
</Properties>
</file>