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40" windowHeight="9195"/>
  </bookViews>
  <sheets>
    <sheet name="冲关" sheetId="1" r:id="rId1"/>
    <sheet name="曾损" sheetId="2" r:id="rId2"/>
  </sheets>
  <calcPr calcId="144525"/>
</workbook>
</file>

<file path=xl/sharedStrings.xml><?xml version="1.0" encoding="utf-8"?>
<sst xmlns="http://schemas.openxmlformats.org/spreadsheetml/2006/main" count="27" uniqueCount="25">
  <si>
    <t>分</t>
  </si>
  <si>
    <t>合</t>
  </si>
  <si>
    <t>mean</t>
  </si>
  <si>
    <t>pred</t>
  </si>
  <si>
    <t>hqyx-adj</t>
  </si>
  <si>
    <t>hqyx-ori</t>
  </si>
  <si>
    <t>pred-dlt</t>
  </si>
  <si>
    <t>hqyx-dlt</t>
  </si>
  <si>
    <t>diff-dlt</t>
  </si>
  <si>
    <t>sum</t>
  </si>
  <si>
    <t>可减少</t>
  </si>
  <si>
    <t>/</t>
  </si>
  <si>
    <t>前</t>
  </si>
  <si>
    <t>后</t>
  </si>
  <si>
    <t>总</t>
  </si>
  <si>
    <t>净</t>
  </si>
  <si>
    <t>阳光</t>
  </si>
  <si>
    <t>操作引入</t>
  </si>
  <si>
    <t>回升</t>
  </si>
  <si>
    <t>曾损引入</t>
  </si>
  <si>
    <t>额外</t>
  </si>
  <si>
    <t>南瓜引入</t>
  </si>
  <si>
    <t>净回升</t>
  </si>
  <si>
    <t>额外引入</t>
  </si>
  <si>
    <t>均摊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</si>
</sst>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10" borderId="3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5" fillId="14" borderId="2" applyNumberFormat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76" fontId="1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76" fontId="1" fillId="2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冲关!$E$1</c:f>
              <c:strCache>
                <c:ptCount val="1"/>
                <c:pt idx="0">
                  <c:v>pred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冲关!$A$2:$A$53</c:f>
              <c:numCache>
                <c:formatCode>General</c:formatCode>
                <c:ptCount val="52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  <c:pt idx="21">
                  <c:v>2042</c:v>
                </c:pt>
                <c:pt idx="22">
                  <c:v>2044</c:v>
                </c:pt>
                <c:pt idx="23">
                  <c:v>2046</c:v>
                </c:pt>
                <c:pt idx="24">
                  <c:v>2048</c:v>
                </c:pt>
                <c:pt idx="25">
                  <c:v>2050</c:v>
                </c:pt>
                <c:pt idx="26">
                  <c:v>2052</c:v>
                </c:pt>
                <c:pt idx="27">
                  <c:v>2054</c:v>
                </c:pt>
                <c:pt idx="28">
                  <c:v>2056</c:v>
                </c:pt>
                <c:pt idx="29">
                  <c:v>2058</c:v>
                </c:pt>
                <c:pt idx="30">
                  <c:v>2060</c:v>
                </c:pt>
                <c:pt idx="31">
                  <c:v>2062</c:v>
                </c:pt>
                <c:pt idx="32">
                  <c:v>2064</c:v>
                </c:pt>
                <c:pt idx="33">
                  <c:v>2066</c:v>
                </c:pt>
                <c:pt idx="34">
                  <c:v>2068</c:v>
                </c:pt>
                <c:pt idx="35">
                  <c:v>2070</c:v>
                </c:pt>
                <c:pt idx="36">
                  <c:v>2072</c:v>
                </c:pt>
                <c:pt idx="37">
                  <c:v>2074</c:v>
                </c:pt>
                <c:pt idx="38">
                  <c:v>2076</c:v>
                </c:pt>
                <c:pt idx="39">
                  <c:v>2078</c:v>
                </c:pt>
                <c:pt idx="40">
                  <c:v>2080</c:v>
                </c:pt>
                <c:pt idx="41">
                  <c:v>2082</c:v>
                </c:pt>
                <c:pt idx="42">
                  <c:v>2084</c:v>
                </c:pt>
                <c:pt idx="43">
                  <c:v>2086</c:v>
                </c:pt>
                <c:pt idx="44">
                  <c:v>2088</c:v>
                </c:pt>
                <c:pt idx="45">
                  <c:v>2090</c:v>
                </c:pt>
                <c:pt idx="46">
                  <c:v>2092</c:v>
                </c:pt>
                <c:pt idx="47">
                  <c:v>2094</c:v>
                </c:pt>
                <c:pt idx="48">
                  <c:v>2096</c:v>
                </c:pt>
                <c:pt idx="49">
                  <c:v>2098</c:v>
                </c:pt>
                <c:pt idx="50">
                  <c:v>2100</c:v>
                </c:pt>
                <c:pt idx="51">
                  <c:v>2102</c:v>
                </c:pt>
              </c:numCache>
            </c:numRef>
          </c:xVal>
          <c:yVal>
            <c:numRef>
              <c:f>冲关!$E$2:$E$53</c:f>
              <c:numCache>
                <c:formatCode>General</c:formatCode>
                <c:ptCount val="52"/>
                <c:pt idx="0">
                  <c:v>0</c:v>
                </c:pt>
                <c:pt idx="1">
                  <c:v>469</c:v>
                </c:pt>
                <c:pt idx="2">
                  <c:v>-920</c:v>
                </c:pt>
                <c:pt idx="3">
                  <c:v>-8</c:v>
                </c:pt>
                <c:pt idx="4">
                  <c:v>445</c:v>
                </c:pt>
                <c:pt idx="5">
                  <c:v>561</c:v>
                </c:pt>
                <c:pt idx="6">
                  <c:v>1329</c:v>
                </c:pt>
                <c:pt idx="7">
                  <c:v>2028</c:v>
                </c:pt>
                <c:pt idx="8">
                  <c:v>1367</c:v>
                </c:pt>
                <c:pt idx="9">
                  <c:v>1045</c:v>
                </c:pt>
                <c:pt idx="10">
                  <c:v>1374</c:v>
                </c:pt>
                <c:pt idx="11">
                  <c:v>640</c:v>
                </c:pt>
                <c:pt idx="12">
                  <c:v>1020</c:v>
                </c:pt>
                <c:pt idx="13">
                  <c:v>1944</c:v>
                </c:pt>
                <c:pt idx="14">
                  <c:v>1064</c:v>
                </c:pt>
                <c:pt idx="15">
                  <c:v>680</c:v>
                </c:pt>
                <c:pt idx="16">
                  <c:v>1648</c:v>
                </c:pt>
                <c:pt idx="17">
                  <c:v>2472</c:v>
                </c:pt>
                <c:pt idx="18">
                  <c:v>1548</c:v>
                </c:pt>
                <c:pt idx="19">
                  <c:v>1456</c:v>
                </c:pt>
                <c:pt idx="20">
                  <c:v>1511</c:v>
                </c:pt>
                <c:pt idx="21">
                  <c:v>2569</c:v>
                </c:pt>
                <c:pt idx="22">
                  <c:v>2352</c:v>
                </c:pt>
                <c:pt idx="23">
                  <c:v>2304</c:v>
                </c:pt>
                <c:pt idx="24">
                  <c:v>2594</c:v>
                </c:pt>
                <c:pt idx="25">
                  <c:v>2956</c:v>
                </c:pt>
                <c:pt idx="26">
                  <c:v>2054</c:v>
                </c:pt>
                <c:pt idx="27">
                  <c:v>3260</c:v>
                </c:pt>
                <c:pt idx="28">
                  <c:v>3060</c:v>
                </c:pt>
                <c:pt idx="29">
                  <c:v>3584</c:v>
                </c:pt>
                <c:pt idx="30">
                  <c:v>2560</c:v>
                </c:pt>
                <c:pt idx="31">
                  <c:v>1551</c:v>
                </c:pt>
                <c:pt idx="32">
                  <c:v>3324</c:v>
                </c:pt>
                <c:pt idx="33">
                  <c:v>4511</c:v>
                </c:pt>
                <c:pt idx="34">
                  <c:v>4924</c:v>
                </c:pt>
                <c:pt idx="35">
                  <c:v>5047</c:v>
                </c:pt>
                <c:pt idx="36">
                  <c:v>4719</c:v>
                </c:pt>
                <c:pt idx="37">
                  <c:v>4774</c:v>
                </c:pt>
                <c:pt idx="38">
                  <c:v>6182</c:v>
                </c:pt>
                <c:pt idx="39">
                  <c:v>5242</c:v>
                </c:pt>
                <c:pt idx="40">
                  <c:v>6224</c:v>
                </c:pt>
                <c:pt idx="41">
                  <c:v>6554</c:v>
                </c:pt>
                <c:pt idx="42">
                  <c:v>6735</c:v>
                </c:pt>
                <c:pt idx="43">
                  <c:v>6391</c:v>
                </c:pt>
                <c:pt idx="44">
                  <c:v>5782</c:v>
                </c:pt>
                <c:pt idx="45">
                  <c:v>4627</c:v>
                </c:pt>
                <c:pt idx="46">
                  <c:v>3895</c:v>
                </c:pt>
                <c:pt idx="47">
                  <c:v>4802</c:v>
                </c:pt>
                <c:pt idx="48">
                  <c:v>4618</c:v>
                </c:pt>
                <c:pt idx="49">
                  <c:v>5805</c:v>
                </c:pt>
                <c:pt idx="50">
                  <c:v>6583</c:v>
                </c:pt>
                <c:pt idx="51">
                  <c:v>8164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冲关!$F$1</c:f>
              <c:strCache>
                <c:ptCount val="1"/>
                <c:pt idx="0">
                  <c:v>hqyx-adj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冲关!$A$2:$A$53</c:f>
              <c:numCache>
                <c:formatCode>General</c:formatCode>
                <c:ptCount val="52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  <c:pt idx="21">
                  <c:v>2042</c:v>
                </c:pt>
                <c:pt idx="22">
                  <c:v>2044</c:v>
                </c:pt>
                <c:pt idx="23">
                  <c:v>2046</c:v>
                </c:pt>
                <c:pt idx="24">
                  <c:v>2048</c:v>
                </c:pt>
                <c:pt idx="25">
                  <c:v>2050</c:v>
                </c:pt>
                <c:pt idx="26">
                  <c:v>2052</c:v>
                </c:pt>
                <c:pt idx="27">
                  <c:v>2054</c:v>
                </c:pt>
                <c:pt idx="28">
                  <c:v>2056</c:v>
                </c:pt>
                <c:pt idx="29">
                  <c:v>2058</c:v>
                </c:pt>
                <c:pt idx="30">
                  <c:v>2060</c:v>
                </c:pt>
                <c:pt idx="31">
                  <c:v>2062</c:v>
                </c:pt>
                <c:pt idx="32">
                  <c:v>2064</c:v>
                </c:pt>
                <c:pt idx="33">
                  <c:v>2066</c:v>
                </c:pt>
                <c:pt idx="34">
                  <c:v>2068</c:v>
                </c:pt>
                <c:pt idx="35">
                  <c:v>2070</c:v>
                </c:pt>
                <c:pt idx="36">
                  <c:v>2072</c:v>
                </c:pt>
                <c:pt idx="37">
                  <c:v>2074</c:v>
                </c:pt>
                <c:pt idx="38">
                  <c:v>2076</c:v>
                </c:pt>
                <c:pt idx="39">
                  <c:v>2078</c:v>
                </c:pt>
                <c:pt idx="40">
                  <c:v>2080</c:v>
                </c:pt>
                <c:pt idx="41">
                  <c:v>2082</c:v>
                </c:pt>
                <c:pt idx="42">
                  <c:v>2084</c:v>
                </c:pt>
                <c:pt idx="43">
                  <c:v>2086</c:v>
                </c:pt>
                <c:pt idx="44">
                  <c:v>2088</c:v>
                </c:pt>
                <c:pt idx="45">
                  <c:v>2090</c:v>
                </c:pt>
                <c:pt idx="46">
                  <c:v>2092</c:v>
                </c:pt>
                <c:pt idx="47">
                  <c:v>2094</c:v>
                </c:pt>
                <c:pt idx="48">
                  <c:v>2096</c:v>
                </c:pt>
                <c:pt idx="49">
                  <c:v>2098</c:v>
                </c:pt>
                <c:pt idx="50">
                  <c:v>2100</c:v>
                </c:pt>
                <c:pt idx="51">
                  <c:v>2102</c:v>
                </c:pt>
              </c:numCache>
            </c:numRef>
          </c:xVal>
          <c:yVal>
            <c:numRef>
              <c:f>冲关!$F$2:$F$53</c:f>
              <c:numCache>
                <c:formatCode>0.00_ </c:formatCode>
                <c:ptCount val="52"/>
                <c:pt idx="0">
                  <c:v>0</c:v>
                </c:pt>
                <c:pt idx="1">
                  <c:v>623.66</c:v>
                </c:pt>
                <c:pt idx="2">
                  <c:v>-327.68</c:v>
                </c:pt>
                <c:pt idx="3">
                  <c:v>720.98</c:v>
                </c:pt>
                <c:pt idx="4">
                  <c:v>694.64</c:v>
                </c:pt>
                <c:pt idx="5">
                  <c:v>618.3</c:v>
                </c:pt>
                <c:pt idx="6">
                  <c:v>1391.96</c:v>
                </c:pt>
                <c:pt idx="7">
                  <c:v>1665.62</c:v>
                </c:pt>
                <c:pt idx="8">
                  <c:v>714.28</c:v>
                </c:pt>
                <c:pt idx="9">
                  <c:v>862.94</c:v>
                </c:pt>
                <c:pt idx="10">
                  <c:v>1211.6</c:v>
                </c:pt>
                <c:pt idx="11">
                  <c:v>335.26</c:v>
                </c:pt>
                <c:pt idx="12">
                  <c:v>633.92</c:v>
                </c:pt>
                <c:pt idx="13">
                  <c:v>1707.58</c:v>
                </c:pt>
                <c:pt idx="14">
                  <c:v>806.24</c:v>
                </c:pt>
                <c:pt idx="15">
                  <c:v>1079.9</c:v>
                </c:pt>
                <c:pt idx="16">
                  <c:v>1403.56</c:v>
                </c:pt>
                <c:pt idx="17">
                  <c:v>1852.22</c:v>
                </c:pt>
                <c:pt idx="18">
                  <c:v>1550.88</c:v>
                </c:pt>
                <c:pt idx="19">
                  <c:v>1574.54</c:v>
                </c:pt>
                <c:pt idx="20">
                  <c:v>923.2</c:v>
                </c:pt>
                <c:pt idx="21">
                  <c:v>2296.86</c:v>
                </c:pt>
                <c:pt idx="22">
                  <c:v>2070.52</c:v>
                </c:pt>
                <c:pt idx="23">
                  <c:v>2019.18</c:v>
                </c:pt>
                <c:pt idx="24">
                  <c:v>2342.84</c:v>
                </c:pt>
                <c:pt idx="25">
                  <c:v>2716.5</c:v>
                </c:pt>
                <c:pt idx="26">
                  <c:v>1865.16</c:v>
                </c:pt>
                <c:pt idx="27">
                  <c:v>3413.82</c:v>
                </c:pt>
                <c:pt idx="28">
                  <c:v>3462.48</c:v>
                </c:pt>
                <c:pt idx="29">
                  <c:v>3011.14</c:v>
                </c:pt>
                <c:pt idx="30">
                  <c:v>1634.8</c:v>
                </c:pt>
                <c:pt idx="31">
                  <c:v>1233.46</c:v>
                </c:pt>
                <c:pt idx="32">
                  <c:v>2357.12</c:v>
                </c:pt>
                <c:pt idx="33">
                  <c:v>2855.78</c:v>
                </c:pt>
                <c:pt idx="34">
                  <c:v>3229.44</c:v>
                </c:pt>
                <c:pt idx="35">
                  <c:v>3028.1</c:v>
                </c:pt>
                <c:pt idx="36">
                  <c:v>2576.76</c:v>
                </c:pt>
                <c:pt idx="37">
                  <c:v>2375.42</c:v>
                </c:pt>
                <c:pt idx="38">
                  <c:v>3324.08</c:v>
                </c:pt>
                <c:pt idx="39">
                  <c:v>2222.74</c:v>
                </c:pt>
                <c:pt idx="40">
                  <c:v>2596.4</c:v>
                </c:pt>
                <c:pt idx="41">
                  <c:v>3320.06</c:v>
                </c:pt>
                <c:pt idx="42">
                  <c:v>2943.72</c:v>
                </c:pt>
                <c:pt idx="43">
                  <c:v>1567.38</c:v>
                </c:pt>
                <c:pt idx="44">
                  <c:v>341.04</c:v>
                </c:pt>
                <c:pt idx="45">
                  <c:v>-810.3</c:v>
                </c:pt>
                <c:pt idx="46">
                  <c:v>-1586.64</c:v>
                </c:pt>
                <c:pt idx="47">
                  <c:v>-637.98</c:v>
                </c:pt>
                <c:pt idx="48">
                  <c:v>-1014.32</c:v>
                </c:pt>
                <c:pt idx="49">
                  <c:v>-240.66</c:v>
                </c:pt>
                <c:pt idx="50">
                  <c:v>1008</c:v>
                </c:pt>
                <c:pt idx="51">
                  <c:v>2406.66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22270"/>
        <c:axId val="826434226"/>
      </c:scatterChart>
      <c:valAx>
        <c:axId val="151022270"/>
        <c:scaling>
          <c:orientation val="minMax"/>
          <c:max val="2102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6434226"/>
        <c:crosses val="autoZero"/>
        <c:crossBetween val="midCat"/>
        <c:majorUnit val="5"/>
      </c:valAx>
      <c:valAx>
        <c:axId val="826434226"/>
        <c:scaling>
          <c:orientation val="minMax"/>
          <c:max val="8500"/>
          <c:min val="-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02227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散点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3"/>
          <c:order val="0"/>
          <c:tx>
            <c:strRef>
              <c:f>冲关!$H$1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冲关!$A$2:$A$53</c:f>
            </c:numRef>
          </c:xVal>
          <c:yVal>
            <c:numRef>
              <c:f>冲关!$H$2:$H$53</c:f>
            </c:numRef>
          </c:yVal>
          <c:smooth val="0"/>
        </c:ser>
        <c:ser>
          <c:idx val="4"/>
          <c:order val="1"/>
          <c:tx>
            <c:strRef>
              <c:f>冲关!$I$1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冲关!$A$2:$A$53</c:f>
            </c:numRef>
          </c:xVal>
          <c:yVal>
            <c:numRef>
              <c:f>冲关!$I$2:$I$53</c:f>
            </c:numRef>
          </c:yVal>
          <c:smooth val="0"/>
        </c:ser>
        <c:ser>
          <c:idx val="5"/>
          <c:order val="2"/>
          <c:tx>
            <c:strRef>
              <c:f>冲关!$J$1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冲关!$A$2:$A$53</c:f>
            </c:numRef>
          </c:xVal>
          <c:yVal>
            <c:numRef>
              <c:f>冲关!$J$2:$J$53</c:f>
            </c:numRef>
          </c:yVal>
          <c:smooth val="0"/>
        </c:ser>
        <c:ser>
          <c:idx val="0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冲关!$K$3:$K$53</c:f>
              <c:numCache>
                <c:formatCode>General</c:formatCode>
                <c:ptCount val="51"/>
                <c:pt idx="0">
                  <c:v>469</c:v>
                </c:pt>
                <c:pt idx="1">
                  <c:v>-1389</c:v>
                </c:pt>
                <c:pt idx="2">
                  <c:v>912</c:v>
                </c:pt>
                <c:pt idx="3">
                  <c:v>453</c:v>
                </c:pt>
                <c:pt idx="4">
                  <c:v>116</c:v>
                </c:pt>
                <c:pt idx="5">
                  <c:v>768</c:v>
                </c:pt>
                <c:pt idx="6">
                  <c:v>699</c:v>
                </c:pt>
                <c:pt idx="7">
                  <c:v>-661</c:v>
                </c:pt>
                <c:pt idx="8">
                  <c:v>-322</c:v>
                </c:pt>
                <c:pt idx="9">
                  <c:v>329</c:v>
                </c:pt>
                <c:pt idx="10">
                  <c:v>-734</c:v>
                </c:pt>
                <c:pt idx="11">
                  <c:v>380</c:v>
                </c:pt>
                <c:pt idx="12">
                  <c:v>924</c:v>
                </c:pt>
                <c:pt idx="13">
                  <c:v>-880</c:v>
                </c:pt>
                <c:pt idx="14">
                  <c:v>-384</c:v>
                </c:pt>
                <c:pt idx="15">
                  <c:v>968</c:v>
                </c:pt>
                <c:pt idx="16">
                  <c:v>824</c:v>
                </c:pt>
                <c:pt idx="17">
                  <c:v>-924</c:v>
                </c:pt>
                <c:pt idx="18">
                  <c:v>-92</c:v>
                </c:pt>
                <c:pt idx="19">
                  <c:v>55</c:v>
                </c:pt>
                <c:pt idx="20">
                  <c:v>1058</c:v>
                </c:pt>
                <c:pt idx="21">
                  <c:v>-217</c:v>
                </c:pt>
                <c:pt idx="22">
                  <c:v>-48</c:v>
                </c:pt>
                <c:pt idx="23">
                  <c:v>290</c:v>
                </c:pt>
                <c:pt idx="24">
                  <c:v>362</c:v>
                </c:pt>
                <c:pt idx="25">
                  <c:v>-902</c:v>
                </c:pt>
                <c:pt idx="26">
                  <c:v>1206</c:v>
                </c:pt>
                <c:pt idx="27">
                  <c:v>-200</c:v>
                </c:pt>
                <c:pt idx="28">
                  <c:v>524</c:v>
                </c:pt>
                <c:pt idx="29">
                  <c:v>-1024</c:v>
                </c:pt>
                <c:pt idx="30">
                  <c:v>-1009</c:v>
                </c:pt>
                <c:pt idx="31">
                  <c:v>1773</c:v>
                </c:pt>
                <c:pt idx="32">
                  <c:v>1187</c:v>
                </c:pt>
                <c:pt idx="33">
                  <c:v>413</c:v>
                </c:pt>
                <c:pt idx="34">
                  <c:v>123</c:v>
                </c:pt>
                <c:pt idx="35">
                  <c:v>-328</c:v>
                </c:pt>
                <c:pt idx="36">
                  <c:v>55</c:v>
                </c:pt>
                <c:pt idx="37">
                  <c:v>1408</c:v>
                </c:pt>
                <c:pt idx="38">
                  <c:v>-940</c:v>
                </c:pt>
                <c:pt idx="39">
                  <c:v>982</c:v>
                </c:pt>
                <c:pt idx="40">
                  <c:v>330</c:v>
                </c:pt>
                <c:pt idx="41">
                  <c:v>181</c:v>
                </c:pt>
                <c:pt idx="42">
                  <c:v>-344</c:v>
                </c:pt>
                <c:pt idx="43">
                  <c:v>-609</c:v>
                </c:pt>
                <c:pt idx="44">
                  <c:v>-1155</c:v>
                </c:pt>
                <c:pt idx="45">
                  <c:v>-732</c:v>
                </c:pt>
                <c:pt idx="46">
                  <c:v>907</c:v>
                </c:pt>
                <c:pt idx="47">
                  <c:v>-184</c:v>
                </c:pt>
                <c:pt idx="48">
                  <c:v>1187</c:v>
                </c:pt>
                <c:pt idx="49">
                  <c:v>778</c:v>
                </c:pt>
                <c:pt idx="50">
                  <c:v>1581</c:v>
                </c:pt>
              </c:numCache>
            </c:numRef>
          </c:xVal>
          <c:yVal>
            <c:numRef>
              <c:f>冲关!$L$3:$L$53</c:f>
              <c:numCache>
                <c:formatCode>General</c:formatCode>
                <c:ptCount val="51"/>
                <c:pt idx="0">
                  <c:v>623.66</c:v>
                </c:pt>
                <c:pt idx="1">
                  <c:v>-951.34</c:v>
                </c:pt>
                <c:pt idx="2">
                  <c:v>1048.66</c:v>
                </c:pt>
                <c:pt idx="3">
                  <c:v>-26.34</c:v>
                </c:pt>
                <c:pt idx="4">
                  <c:v>-76.34</c:v>
                </c:pt>
                <c:pt idx="5">
                  <c:v>773.66</c:v>
                </c:pt>
                <c:pt idx="6">
                  <c:v>273.66</c:v>
                </c:pt>
                <c:pt idx="7">
                  <c:v>-951.34</c:v>
                </c:pt>
                <c:pt idx="8">
                  <c:v>148.66</c:v>
                </c:pt>
                <c:pt idx="9">
                  <c:v>348.66</c:v>
                </c:pt>
                <c:pt idx="10">
                  <c:v>-876.34</c:v>
                </c:pt>
                <c:pt idx="11">
                  <c:v>298.66</c:v>
                </c:pt>
                <c:pt idx="12">
                  <c:v>1073.66</c:v>
                </c:pt>
                <c:pt idx="13">
                  <c:v>-901.34</c:v>
                </c:pt>
                <c:pt idx="14">
                  <c:v>273.66</c:v>
                </c:pt>
                <c:pt idx="15">
                  <c:v>323.66</c:v>
                </c:pt>
                <c:pt idx="16">
                  <c:v>448.66</c:v>
                </c:pt>
                <c:pt idx="17">
                  <c:v>-301.34</c:v>
                </c:pt>
                <c:pt idx="18">
                  <c:v>23.6600000000001</c:v>
                </c:pt>
                <c:pt idx="19">
                  <c:v>-651.34</c:v>
                </c:pt>
                <c:pt idx="20">
                  <c:v>1373.66</c:v>
                </c:pt>
                <c:pt idx="21">
                  <c:v>-226.34</c:v>
                </c:pt>
                <c:pt idx="22">
                  <c:v>-51.3400000000001</c:v>
                </c:pt>
                <c:pt idx="23">
                  <c:v>323.66</c:v>
                </c:pt>
                <c:pt idx="24">
                  <c:v>373.66</c:v>
                </c:pt>
                <c:pt idx="25">
                  <c:v>-851.34</c:v>
                </c:pt>
                <c:pt idx="26">
                  <c:v>1548.66</c:v>
                </c:pt>
                <c:pt idx="27">
                  <c:v>48.6600000000003</c:v>
                </c:pt>
                <c:pt idx="28">
                  <c:v>-451.34</c:v>
                </c:pt>
                <c:pt idx="29">
                  <c:v>-1376.34</c:v>
                </c:pt>
                <c:pt idx="30">
                  <c:v>-401.34</c:v>
                </c:pt>
                <c:pt idx="31">
                  <c:v>1123.66</c:v>
                </c:pt>
                <c:pt idx="32">
                  <c:v>498.66</c:v>
                </c:pt>
                <c:pt idx="33">
                  <c:v>373.66</c:v>
                </c:pt>
                <c:pt idx="34">
                  <c:v>-201.34</c:v>
                </c:pt>
                <c:pt idx="35">
                  <c:v>-451.34</c:v>
                </c:pt>
                <c:pt idx="36">
                  <c:v>-201.34</c:v>
                </c:pt>
                <c:pt idx="37">
                  <c:v>948.66</c:v>
                </c:pt>
                <c:pt idx="38">
                  <c:v>-1101.34</c:v>
                </c:pt>
                <c:pt idx="39">
                  <c:v>373.66</c:v>
                </c:pt>
                <c:pt idx="40">
                  <c:v>723.66</c:v>
                </c:pt>
                <c:pt idx="41">
                  <c:v>-376.34</c:v>
                </c:pt>
                <c:pt idx="42">
                  <c:v>-1376.34</c:v>
                </c:pt>
                <c:pt idx="43">
                  <c:v>-1226.34</c:v>
                </c:pt>
                <c:pt idx="44">
                  <c:v>-1151.34</c:v>
                </c:pt>
                <c:pt idx="45">
                  <c:v>-776.34</c:v>
                </c:pt>
                <c:pt idx="46">
                  <c:v>948.66</c:v>
                </c:pt>
                <c:pt idx="47">
                  <c:v>-376.34</c:v>
                </c:pt>
                <c:pt idx="48">
                  <c:v>773.66</c:v>
                </c:pt>
                <c:pt idx="49">
                  <c:v>1248.66</c:v>
                </c:pt>
                <c:pt idx="50">
                  <c:v>1398.66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152213"/>
        <c:axId val="36812407"/>
      </c:scatterChart>
      <c:valAx>
        <c:axId val="6741522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12407"/>
        <c:crosses val="autoZero"/>
        <c:crossBetween val="midCat"/>
      </c:valAx>
      <c:valAx>
        <c:axId val="36812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415221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残差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冲关!$A$3:$A$53</c:f>
              <c:numCache>
                <c:formatCode>General</c:formatCode>
                <c:ptCount val="51"/>
                <c:pt idx="0">
                  <c:v>2002</c:v>
                </c:pt>
                <c:pt idx="1">
                  <c:v>2004</c:v>
                </c:pt>
                <c:pt idx="2">
                  <c:v>2006</c:v>
                </c:pt>
                <c:pt idx="3">
                  <c:v>2008</c:v>
                </c:pt>
                <c:pt idx="4">
                  <c:v>2010</c:v>
                </c:pt>
                <c:pt idx="5">
                  <c:v>2012</c:v>
                </c:pt>
                <c:pt idx="6">
                  <c:v>2014</c:v>
                </c:pt>
                <c:pt idx="7">
                  <c:v>2016</c:v>
                </c:pt>
                <c:pt idx="8">
                  <c:v>2018</c:v>
                </c:pt>
                <c:pt idx="9">
                  <c:v>2020</c:v>
                </c:pt>
                <c:pt idx="10">
                  <c:v>2022</c:v>
                </c:pt>
                <c:pt idx="11">
                  <c:v>2024</c:v>
                </c:pt>
                <c:pt idx="12">
                  <c:v>2026</c:v>
                </c:pt>
                <c:pt idx="13">
                  <c:v>2028</c:v>
                </c:pt>
                <c:pt idx="14">
                  <c:v>2030</c:v>
                </c:pt>
                <c:pt idx="15">
                  <c:v>2032</c:v>
                </c:pt>
                <c:pt idx="16">
                  <c:v>2034</c:v>
                </c:pt>
                <c:pt idx="17">
                  <c:v>2036</c:v>
                </c:pt>
                <c:pt idx="18">
                  <c:v>2038</c:v>
                </c:pt>
                <c:pt idx="19">
                  <c:v>2040</c:v>
                </c:pt>
                <c:pt idx="20">
                  <c:v>2042</c:v>
                </c:pt>
                <c:pt idx="21">
                  <c:v>2044</c:v>
                </c:pt>
                <c:pt idx="22">
                  <c:v>2046</c:v>
                </c:pt>
                <c:pt idx="23">
                  <c:v>2048</c:v>
                </c:pt>
                <c:pt idx="24">
                  <c:v>2050</c:v>
                </c:pt>
                <c:pt idx="25">
                  <c:v>2052</c:v>
                </c:pt>
                <c:pt idx="26">
                  <c:v>2054</c:v>
                </c:pt>
                <c:pt idx="27">
                  <c:v>2056</c:v>
                </c:pt>
                <c:pt idx="28">
                  <c:v>2058</c:v>
                </c:pt>
                <c:pt idx="29">
                  <c:v>2060</c:v>
                </c:pt>
                <c:pt idx="30">
                  <c:v>2062</c:v>
                </c:pt>
                <c:pt idx="31">
                  <c:v>2064</c:v>
                </c:pt>
                <c:pt idx="32">
                  <c:v>2066</c:v>
                </c:pt>
                <c:pt idx="33">
                  <c:v>2068</c:v>
                </c:pt>
                <c:pt idx="34">
                  <c:v>2070</c:v>
                </c:pt>
                <c:pt idx="35">
                  <c:v>2072</c:v>
                </c:pt>
                <c:pt idx="36">
                  <c:v>2074</c:v>
                </c:pt>
                <c:pt idx="37">
                  <c:v>2076</c:v>
                </c:pt>
                <c:pt idx="38">
                  <c:v>2078</c:v>
                </c:pt>
                <c:pt idx="39">
                  <c:v>2080</c:v>
                </c:pt>
                <c:pt idx="40">
                  <c:v>2082</c:v>
                </c:pt>
                <c:pt idx="41">
                  <c:v>2084</c:v>
                </c:pt>
                <c:pt idx="42">
                  <c:v>2086</c:v>
                </c:pt>
                <c:pt idx="43">
                  <c:v>2088</c:v>
                </c:pt>
                <c:pt idx="44">
                  <c:v>2090</c:v>
                </c:pt>
                <c:pt idx="45">
                  <c:v>2092</c:v>
                </c:pt>
                <c:pt idx="46">
                  <c:v>2094</c:v>
                </c:pt>
                <c:pt idx="47">
                  <c:v>2096</c:v>
                </c:pt>
                <c:pt idx="48">
                  <c:v>2098</c:v>
                </c:pt>
                <c:pt idx="49">
                  <c:v>2100</c:v>
                </c:pt>
                <c:pt idx="50">
                  <c:v>2102</c:v>
                </c:pt>
              </c:numCache>
            </c:numRef>
          </c:xVal>
          <c:yVal>
            <c:numRef>
              <c:f>冲关!$M$3:$M$53</c:f>
              <c:numCache>
                <c:formatCode>General</c:formatCode>
                <c:ptCount val="51"/>
                <c:pt idx="0">
                  <c:v>-154.66</c:v>
                </c:pt>
                <c:pt idx="1">
                  <c:v>-437.66</c:v>
                </c:pt>
                <c:pt idx="2">
                  <c:v>-136.66</c:v>
                </c:pt>
                <c:pt idx="3">
                  <c:v>479.34</c:v>
                </c:pt>
                <c:pt idx="4">
                  <c:v>192.34</c:v>
                </c:pt>
                <c:pt idx="5">
                  <c:v>-5.66000000000008</c:v>
                </c:pt>
                <c:pt idx="6">
                  <c:v>425.34</c:v>
                </c:pt>
                <c:pt idx="7">
                  <c:v>290.34</c:v>
                </c:pt>
                <c:pt idx="8">
                  <c:v>-470.66</c:v>
                </c:pt>
                <c:pt idx="9">
                  <c:v>-19.66</c:v>
                </c:pt>
                <c:pt idx="10">
                  <c:v>142.34</c:v>
                </c:pt>
                <c:pt idx="11">
                  <c:v>81.34</c:v>
                </c:pt>
                <c:pt idx="12">
                  <c:v>-149.66</c:v>
                </c:pt>
                <c:pt idx="13">
                  <c:v>21.3399999999999</c:v>
                </c:pt>
                <c:pt idx="14">
                  <c:v>-657.66</c:v>
                </c:pt>
                <c:pt idx="15">
                  <c:v>644.34</c:v>
                </c:pt>
                <c:pt idx="16">
                  <c:v>375.34</c:v>
                </c:pt>
                <c:pt idx="17">
                  <c:v>-622.66</c:v>
                </c:pt>
                <c:pt idx="18">
                  <c:v>-115.66</c:v>
                </c:pt>
                <c:pt idx="19">
                  <c:v>706.34</c:v>
                </c:pt>
                <c:pt idx="20">
                  <c:v>-315.66</c:v>
                </c:pt>
                <c:pt idx="21">
                  <c:v>9.33999999999969</c:v>
                </c:pt>
                <c:pt idx="22">
                  <c:v>3.34000000000015</c:v>
                </c:pt>
                <c:pt idx="23">
                  <c:v>-33.6600000000003</c:v>
                </c:pt>
                <c:pt idx="24">
                  <c:v>-11.6599999999999</c:v>
                </c:pt>
                <c:pt idx="25">
                  <c:v>-50.6599999999999</c:v>
                </c:pt>
                <c:pt idx="26">
                  <c:v>-342.66</c:v>
                </c:pt>
                <c:pt idx="27">
                  <c:v>-248.66</c:v>
                </c:pt>
                <c:pt idx="28">
                  <c:v>975.34</c:v>
                </c:pt>
                <c:pt idx="29">
                  <c:v>352.34</c:v>
                </c:pt>
                <c:pt idx="30">
                  <c:v>-607.66</c:v>
                </c:pt>
                <c:pt idx="31">
                  <c:v>649.34</c:v>
                </c:pt>
                <c:pt idx="32">
                  <c:v>688.34</c:v>
                </c:pt>
                <c:pt idx="33">
                  <c:v>39.3400000000001</c:v>
                </c:pt>
                <c:pt idx="34">
                  <c:v>324.34</c:v>
                </c:pt>
                <c:pt idx="35">
                  <c:v>123.34</c:v>
                </c:pt>
                <c:pt idx="36">
                  <c:v>256.34</c:v>
                </c:pt>
                <c:pt idx="37">
                  <c:v>459.34</c:v>
                </c:pt>
                <c:pt idx="38">
                  <c:v>161.34</c:v>
                </c:pt>
                <c:pt idx="39">
                  <c:v>608.34</c:v>
                </c:pt>
                <c:pt idx="40">
                  <c:v>-393.66</c:v>
                </c:pt>
                <c:pt idx="41">
                  <c:v>557.34</c:v>
                </c:pt>
                <c:pt idx="42">
                  <c:v>1032.34</c:v>
                </c:pt>
                <c:pt idx="43">
                  <c:v>617.34</c:v>
                </c:pt>
                <c:pt idx="44">
                  <c:v>-3.65999999999985</c:v>
                </c:pt>
                <c:pt idx="45">
                  <c:v>44.3400000000001</c:v>
                </c:pt>
                <c:pt idx="46">
                  <c:v>-41.6600000000003</c:v>
                </c:pt>
                <c:pt idx="47">
                  <c:v>192.34</c:v>
                </c:pt>
                <c:pt idx="48">
                  <c:v>413.34</c:v>
                </c:pt>
                <c:pt idx="49">
                  <c:v>-470.66</c:v>
                </c:pt>
                <c:pt idx="50">
                  <c:v>182.34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3558"/>
        <c:axId val="799463557"/>
      </c:scatterChart>
      <c:valAx>
        <c:axId val="44553558"/>
        <c:scaling>
          <c:orientation val="minMax"/>
          <c:max val="2102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9463557"/>
        <c:crosses val="autoZero"/>
        <c:crossBetween val="midCat"/>
        <c:majorUnit val="5"/>
      </c:valAx>
      <c:valAx>
        <c:axId val="799463557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53558"/>
        <c:crosses val="autoZero"/>
        <c:crossBetween val="midCat"/>
        <c:majorUnit val="4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199390</xdr:colOff>
      <xdr:row>1</xdr:row>
      <xdr:rowOff>3175</xdr:rowOff>
    </xdr:from>
    <xdr:to>
      <xdr:col>24</xdr:col>
      <xdr:colOff>71755</xdr:colOff>
      <xdr:row>26</xdr:row>
      <xdr:rowOff>37465</xdr:rowOff>
    </xdr:to>
    <xdr:graphicFrame>
      <xdr:nvGraphicFramePr>
        <xdr:cNvPr id="2" name="图表 1"/>
        <xdr:cNvGraphicFramePr/>
      </xdr:nvGraphicFramePr>
      <xdr:xfrm>
        <a:off x="7190740" y="174625"/>
        <a:ext cx="7416165" cy="4320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532130</xdr:colOff>
      <xdr:row>41</xdr:row>
      <xdr:rowOff>81915</xdr:rowOff>
    </xdr:from>
    <xdr:to>
      <xdr:col>21</xdr:col>
      <xdr:colOff>367030</xdr:colOff>
      <xdr:row>68</xdr:row>
      <xdr:rowOff>98425</xdr:rowOff>
    </xdr:to>
    <xdr:graphicFrame>
      <xdr:nvGraphicFramePr>
        <xdr:cNvPr id="3" name="图表 2"/>
        <xdr:cNvGraphicFramePr/>
      </xdr:nvGraphicFramePr>
      <xdr:xfrm>
        <a:off x="7523480" y="7111365"/>
        <a:ext cx="5321300" cy="4645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209550</xdr:colOff>
      <xdr:row>26</xdr:row>
      <xdr:rowOff>169545</xdr:rowOff>
    </xdr:from>
    <xdr:to>
      <xdr:col>24</xdr:col>
      <xdr:colOff>66040</xdr:colOff>
      <xdr:row>39</xdr:row>
      <xdr:rowOff>139700</xdr:rowOff>
    </xdr:to>
    <xdr:graphicFrame>
      <xdr:nvGraphicFramePr>
        <xdr:cNvPr id="5" name="图表 4"/>
        <xdr:cNvGraphicFramePr/>
      </xdr:nvGraphicFramePr>
      <xdr:xfrm>
        <a:off x="7200900" y="4627245"/>
        <a:ext cx="7400290" cy="2199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tabSelected="1" zoomScale="140" zoomScaleNormal="140" workbookViewId="0">
      <selection activeCell="K45" sqref="K45:L45"/>
    </sheetView>
  </sheetViews>
  <sheetFormatPr defaultColWidth="9" defaultRowHeight="13.5"/>
  <cols>
    <col min="1" max="3" width="9" style="4"/>
    <col min="4" max="4" width="9" style="5"/>
    <col min="5" max="5" width="9" style="6"/>
    <col min="6" max="6" width="10.375" style="7"/>
    <col min="7" max="7" width="9" style="4"/>
    <col min="8" max="10" width="9" style="4" hidden="1" customWidth="1"/>
    <col min="11" max="11" width="9" style="8"/>
    <col min="12" max="12" width="9.375" style="8"/>
    <col min="13" max="16384" width="9" style="4"/>
  </cols>
  <sheetData>
    <row r="1" s="4" customFormat="1" spans="1:13">
      <c r="A1" s="9"/>
      <c r="B1" s="9" t="s">
        <v>0</v>
      </c>
      <c r="C1" s="9" t="s">
        <v>1</v>
      </c>
      <c r="D1" s="10" t="s">
        <v>2</v>
      </c>
      <c r="E1" s="11" t="s">
        <v>3</v>
      </c>
      <c r="F1" s="12" t="s">
        <v>4</v>
      </c>
      <c r="G1" s="9" t="s">
        <v>5</v>
      </c>
      <c r="H1" s="9"/>
      <c r="I1" s="9"/>
      <c r="J1" s="9"/>
      <c r="K1" s="14" t="s">
        <v>6</v>
      </c>
      <c r="L1" s="14" t="s">
        <v>7</v>
      </c>
      <c r="M1" s="4" t="s">
        <v>8</v>
      </c>
    </row>
    <row r="2" s="4" customFormat="1" spans="1:12">
      <c r="A2" s="9">
        <v>2000</v>
      </c>
      <c r="B2" s="9">
        <v>0</v>
      </c>
      <c r="C2" s="9">
        <v>0</v>
      </c>
      <c r="D2" s="10">
        <v>0</v>
      </c>
      <c r="E2" s="13">
        <v>0</v>
      </c>
      <c r="F2" s="12">
        <v>0</v>
      </c>
      <c r="G2" s="9">
        <v>0</v>
      </c>
      <c r="H2" s="9">
        <v>8000</v>
      </c>
      <c r="I2" s="9"/>
      <c r="J2" s="9"/>
      <c r="K2" s="14"/>
      <c r="L2" s="14"/>
    </row>
    <row r="3" s="4" customFormat="1" spans="1:13">
      <c r="A3" s="9">
        <v>2002</v>
      </c>
      <c r="B3" s="9">
        <v>575</v>
      </c>
      <c r="C3" s="9">
        <v>469</v>
      </c>
      <c r="D3" s="10">
        <v>541</v>
      </c>
      <c r="E3" s="11">
        <v>469</v>
      </c>
      <c r="F3" s="12">
        <f>G3-51.34*(A3-2000)/2</f>
        <v>623.66</v>
      </c>
      <c r="G3" s="9">
        <f t="shared" ref="G3:G28" si="0">H3-8000</f>
        <v>675</v>
      </c>
      <c r="H3" s="9">
        <v>8675</v>
      </c>
      <c r="I3" s="9"/>
      <c r="J3" s="9"/>
      <c r="K3" s="14">
        <f>E3-E2</f>
        <v>469</v>
      </c>
      <c r="L3" s="14">
        <f>F3-F2</f>
        <v>623.66</v>
      </c>
      <c r="M3" s="4">
        <f>K3-L3</f>
        <v>-154.66</v>
      </c>
    </row>
    <row r="4" s="4" customFormat="1" spans="1:13">
      <c r="A4" s="9">
        <v>2004</v>
      </c>
      <c r="B4" s="9">
        <v>-660</v>
      </c>
      <c r="C4" s="9">
        <v>-920</v>
      </c>
      <c r="D4" s="10">
        <v>-753</v>
      </c>
      <c r="E4" s="11">
        <v>-920</v>
      </c>
      <c r="F4" s="12">
        <f t="shared" ref="F4:F35" si="1">G4-51.34*(A4-2000)/2</f>
        <v>-327.68</v>
      </c>
      <c r="G4" s="9">
        <f t="shared" si="0"/>
        <v>-225</v>
      </c>
      <c r="H4" s="9">
        <v>7775</v>
      </c>
      <c r="I4" s="9"/>
      <c r="J4" s="9"/>
      <c r="K4" s="14">
        <f>E4-E3</f>
        <v>-1389</v>
      </c>
      <c r="L4" s="14">
        <f t="shared" ref="L4:L35" si="2">F4-F3</f>
        <v>-951.34</v>
      </c>
      <c r="M4" s="4">
        <f t="shared" ref="M4:M35" si="3">K4-L4</f>
        <v>-437.66</v>
      </c>
    </row>
    <row r="5" s="4" customFormat="1" spans="1:13">
      <c r="A5" s="9">
        <v>2006</v>
      </c>
      <c r="B5" s="9">
        <v>148</v>
      </c>
      <c r="C5" s="9">
        <v>-8</v>
      </c>
      <c r="D5" s="10">
        <v>140</v>
      </c>
      <c r="E5" s="11">
        <v>-8</v>
      </c>
      <c r="F5" s="12">
        <f t="shared" si="1"/>
        <v>720.98</v>
      </c>
      <c r="G5" s="9">
        <f t="shared" si="0"/>
        <v>875</v>
      </c>
      <c r="H5" s="9">
        <v>8875</v>
      </c>
      <c r="I5" s="9"/>
      <c r="J5" s="9"/>
      <c r="K5" s="14">
        <f t="shared" ref="K4:K35" si="4">E5-E4</f>
        <v>912</v>
      </c>
      <c r="L5" s="14">
        <f t="shared" si="2"/>
        <v>1048.66</v>
      </c>
      <c r="M5" s="4">
        <f t="shared" si="3"/>
        <v>-136.66</v>
      </c>
    </row>
    <row r="6" s="4" customFormat="1" spans="1:13">
      <c r="A6" s="9">
        <v>2008</v>
      </c>
      <c r="B6" s="9">
        <v>-84</v>
      </c>
      <c r="C6" s="9">
        <v>445</v>
      </c>
      <c r="D6" s="10">
        <v>283</v>
      </c>
      <c r="E6" s="11">
        <v>445</v>
      </c>
      <c r="F6" s="12">
        <f t="shared" si="1"/>
        <v>694.64</v>
      </c>
      <c r="G6" s="9">
        <f t="shared" si="0"/>
        <v>900</v>
      </c>
      <c r="H6" s="9">
        <v>8900</v>
      </c>
      <c r="I6" s="9"/>
      <c r="J6" s="9"/>
      <c r="K6" s="14">
        <f t="shared" si="4"/>
        <v>453</v>
      </c>
      <c r="L6" s="14">
        <f t="shared" si="2"/>
        <v>-26.34</v>
      </c>
      <c r="M6" s="4">
        <f t="shared" si="3"/>
        <v>479.34</v>
      </c>
    </row>
    <row r="7" s="4" customFormat="1" spans="1:13">
      <c r="A7" s="9">
        <v>2010</v>
      </c>
      <c r="B7" s="9">
        <v>70</v>
      </c>
      <c r="C7" s="9">
        <v>561</v>
      </c>
      <c r="D7" s="10">
        <v>437</v>
      </c>
      <c r="E7" s="11">
        <v>561</v>
      </c>
      <c r="F7" s="12">
        <f t="shared" si="1"/>
        <v>618.3</v>
      </c>
      <c r="G7" s="9">
        <f t="shared" si="0"/>
        <v>875</v>
      </c>
      <c r="H7" s="9">
        <v>8875</v>
      </c>
      <c r="I7" s="9"/>
      <c r="J7" s="9"/>
      <c r="K7" s="14">
        <f t="shared" si="4"/>
        <v>116</v>
      </c>
      <c r="L7" s="14">
        <f t="shared" si="2"/>
        <v>-76.34</v>
      </c>
      <c r="M7" s="4">
        <f t="shared" si="3"/>
        <v>192.34</v>
      </c>
    </row>
    <row r="8" s="4" customFormat="1" spans="1:13">
      <c r="A8" s="9">
        <v>2012</v>
      </c>
      <c r="B8" s="9">
        <v>569</v>
      </c>
      <c r="C8" s="9">
        <v>1329</v>
      </c>
      <c r="D8" s="10">
        <v>1103</v>
      </c>
      <c r="E8" s="11">
        <v>1329</v>
      </c>
      <c r="F8" s="12">
        <f t="shared" si="1"/>
        <v>1391.96</v>
      </c>
      <c r="G8" s="9">
        <f t="shared" si="0"/>
        <v>1700</v>
      </c>
      <c r="H8" s="9">
        <v>9700</v>
      </c>
      <c r="I8" s="9"/>
      <c r="J8" s="9"/>
      <c r="K8" s="14">
        <f t="shared" si="4"/>
        <v>768</v>
      </c>
      <c r="L8" s="14">
        <f t="shared" si="2"/>
        <v>773.66</v>
      </c>
      <c r="M8" s="4">
        <f t="shared" si="3"/>
        <v>-5.66000000000008</v>
      </c>
    </row>
    <row r="9" s="4" customFormat="1" spans="1:13">
      <c r="A9" s="9">
        <v>2014</v>
      </c>
      <c r="B9" s="9">
        <v>609</v>
      </c>
      <c r="C9" s="9">
        <v>2028</v>
      </c>
      <c r="D9" s="10">
        <v>1505</v>
      </c>
      <c r="E9" s="11">
        <v>2028</v>
      </c>
      <c r="F9" s="12">
        <f t="shared" si="1"/>
        <v>1665.62</v>
      </c>
      <c r="G9" s="9">
        <f t="shared" si="0"/>
        <v>2025</v>
      </c>
      <c r="H9" s="9">
        <v>10025</v>
      </c>
      <c r="I9" s="9"/>
      <c r="J9" s="9"/>
      <c r="K9" s="14">
        <f t="shared" si="4"/>
        <v>699</v>
      </c>
      <c r="L9" s="14">
        <f t="shared" si="2"/>
        <v>273.66</v>
      </c>
      <c r="M9" s="4">
        <f t="shared" si="3"/>
        <v>425.34</v>
      </c>
    </row>
    <row r="10" s="4" customFormat="1" spans="1:13">
      <c r="A10" s="9">
        <v>2016</v>
      </c>
      <c r="B10" s="9">
        <v>-122</v>
      </c>
      <c r="C10" s="9">
        <v>1367</v>
      </c>
      <c r="D10" s="10">
        <v>828</v>
      </c>
      <c r="E10" s="11">
        <v>1367</v>
      </c>
      <c r="F10" s="12">
        <f t="shared" si="1"/>
        <v>714.28</v>
      </c>
      <c r="G10" s="9">
        <f t="shared" si="0"/>
        <v>1125</v>
      </c>
      <c r="H10" s="9">
        <v>9125</v>
      </c>
      <c r="I10" s="9"/>
      <c r="J10" s="9"/>
      <c r="K10" s="14">
        <f t="shared" si="4"/>
        <v>-661</v>
      </c>
      <c r="L10" s="14">
        <f t="shared" si="2"/>
        <v>-951.34</v>
      </c>
      <c r="M10" s="4">
        <f t="shared" si="3"/>
        <v>290.34</v>
      </c>
    </row>
    <row r="11" s="4" customFormat="1" spans="1:13">
      <c r="A11" s="9">
        <v>2018</v>
      </c>
      <c r="B11" s="9">
        <v>-291</v>
      </c>
      <c r="C11" s="9">
        <v>1045</v>
      </c>
      <c r="D11" s="10">
        <v>601</v>
      </c>
      <c r="E11" s="11">
        <v>1045</v>
      </c>
      <c r="F11" s="12">
        <f t="shared" si="1"/>
        <v>862.94</v>
      </c>
      <c r="G11" s="9">
        <f t="shared" si="0"/>
        <v>1325</v>
      </c>
      <c r="H11" s="9">
        <v>9325</v>
      </c>
      <c r="I11" s="9"/>
      <c r="J11" s="9"/>
      <c r="K11" s="14">
        <f t="shared" si="4"/>
        <v>-322</v>
      </c>
      <c r="L11" s="14">
        <f t="shared" si="2"/>
        <v>148.66</v>
      </c>
      <c r="M11" s="4">
        <f t="shared" si="3"/>
        <v>-470.66</v>
      </c>
    </row>
    <row r="12" s="4" customFormat="1" spans="1:13">
      <c r="A12" s="9">
        <v>2020</v>
      </c>
      <c r="B12" s="9">
        <v>66</v>
      </c>
      <c r="C12" s="9">
        <v>1374</v>
      </c>
      <c r="D12" s="10">
        <v>963</v>
      </c>
      <c r="E12" s="11">
        <v>1374</v>
      </c>
      <c r="F12" s="12">
        <f t="shared" si="1"/>
        <v>1211.6</v>
      </c>
      <c r="G12" s="9">
        <f t="shared" si="0"/>
        <v>1725</v>
      </c>
      <c r="H12" s="9">
        <v>9725</v>
      </c>
      <c r="I12" s="9"/>
      <c r="J12" s="9"/>
      <c r="K12" s="14">
        <f t="shared" si="4"/>
        <v>329</v>
      </c>
      <c r="L12" s="14">
        <f t="shared" si="2"/>
        <v>348.66</v>
      </c>
      <c r="M12" s="4">
        <f t="shared" si="3"/>
        <v>-19.66</v>
      </c>
    </row>
    <row r="13" s="4" customFormat="1" spans="1:13">
      <c r="A13" s="9">
        <v>2022</v>
      </c>
      <c r="B13" s="9">
        <v>-719</v>
      </c>
      <c r="C13" s="9">
        <v>640</v>
      </c>
      <c r="D13" s="10">
        <v>222</v>
      </c>
      <c r="E13" s="11">
        <v>640</v>
      </c>
      <c r="F13" s="12">
        <f t="shared" si="1"/>
        <v>335.26</v>
      </c>
      <c r="G13" s="9">
        <f t="shared" si="0"/>
        <v>900</v>
      </c>
      <c r="H13" s="9">
        <v>8900</v>
      </c>
      <c r="I13" s="9"/>
      <c r="J13" s="9"/>
      <c r="K13" s="14">
        <f t="shared" si="4"/>
        <v>-734</v>
      </c>
      <c r="L13" s="14">
        <f t="shared" si="2"/>
        <v>-876.34</v>
      </c>
      <c r="M13" s="4">
        <f t="shared" si="3"/>
        <v>142.34</v>
      </c>
    </row>
    <row r="14" s="4" customFormat="1" spans="1:13">
      <c r="A14" s="9">
        <v>2024</v>
      </c>
      <c r="B14" s="9">
        <v>-989</v>
      </c>
      <c r="C14" s="9">
        <v>1020</v>
      </c>
      <c r="D14" s="10">
        <v>310</v>
      </c>
      <c r="E14" s="11">
        <v>1020</v>
      </c>
      <c r="F14" s="12">
        <f t="shared" si="1"/>
        <v>633.92</v>
      </c>
      <c r="G14" s="9">
        <f t="shared" si="0"/>
        <v>1250</v>
      </c>
      <c r="H14" s="9">
        <v>9250</v>
      </c>
      <c r="I14" s="9"/>
      <c r="J14" s="9"/>
      <c r="K14" s="14">
        <f t="shared" si="4"/>
        <v>380</v>
      </c>
      <c r="L14" s="14">
        <f t="shared" si="2"/>
        <v>298.66</v>
      </c>
      <c r="M14" s="4">
        <f t="shared" si="3"/>
        <v>81.34</v>
      </c>
    </row>
    <row r="15" s="4" customFormat="1" spans="1:13">
      <c r="A15" s="9">
        <v>2026</v>
      </c>
      <c r="B15" s="9">
        <v>-394</v>
      </c>
      <c r="C15" s="9">
        <v>1944</v>
      </c>
      <c r="D15" s="10">
        <v>1102</v>
      </c>
      <c r="E15" s="11">
        <v>1944</v>
      </c>
      <c r="F15" s="12">
        <f t="shared" si="1"/>
        <v>1707.58</v>
      </c>
      <c r="G15" s="9">
        <f t="shared" si="0"/>
        <v>2375</v>
      </c>
      <c r="H15" s="9">
        <v>10375</v>
      </c>
      <c r="I15" s="9"/>
      <c r="J15" s="9"/>
      <c r="K15" s="14">
        <f t="shared" si="4"/>
        <v>924</v>
      </c>
      <c r="L15" s="14">
        <f t="shared" si="2"/>
        <v>1073.66</v>
      </c>
      <c r="M15" s="4">
        <f t="shared" si="3"/>
        <v>-149.66</v>
      </c>
    </row>
    <row r="16" s="4" customFormat="1" spans="1:13">
      <c r="A16" s="9">
        <v>2028</v>
      </c>
      <c r="B16" s="9">
        <v>-1287</v>
      </c>
      <c r="C16" s="9">
        <v>1064</v>
      </c>
      <c r="D16" s="10">
        <v>234</v>
      </c>
      <c r="E16" s="11">
        <v>1064</v>
      </c>
      <c r="F16" s="12">
        <f t="shared" si="1"/>
        <v>806.24</v>
      </c>
      <c r="G16" s="9">
        <f t="shared" si="0"/>
        <v>1525</v>
      </c>
      <c r="H16" s="9">
        <v>9525</v>
      </c>
      <c r="I16" s="9"/>
      <c r="J16" s="9"/>
      <c r="K16" s="14">
        <f t="shared" si="4"/>
        <v>-880</v>
      </c>
      <c r="L16" s="14">
        <f t="shared" si="2"/>
        <v>-901.34</v>
      </c>
      <c r="M16" s="4">
        <f t="shared" si="3"/>
        <v>21.3399999999999</v>
      </c>
    </row>
    <row r="17" s="4" customFormat="1" spans="1:13">
      <c r="A17" s="9">
        <v>2030</v>
      </c>
      <c r="B17" s="9">
        <v>-1777</v>
      </c>
      <c r="C17" s="9">
        <v>680</v>
      </c>
      <c r="D17" s="10">
        <v>-170</v>
      </c>
      <c r="E17" s="11">
        <v>680</v>
      </c>
      <c r="F17" s="12">
        <f t="shared" si="1"/>
        <v>1079.9</v>
      </c>
      <c r="G17" s="9">
        <f t="shared" si="0"/>
        <v>1850</v>
      </c>
      <c r="H17" s="9">
        <v>9850</v>
      </c>
      <c r="I17" s="9"/>
      <c r="J17" s="9"/>
      <c r="K17" s="14">
        <f t="shared" si="4"/>
        <v>-384</v>
      </c>
      <c r="L17" s="14">
        <f t="shared" si="2"/>
        <v>273.66</v>
      </c>
      <c r="M17" s="4">
        <f t="shared" si="3"/>
        <v>-657.66</v>
      </c>
    </row>
    <row r="18" s="4" customFormat="1" spans="1:13">
      <c r="A18" s="9">
        <v>2032</v>
      </c>
      <c r="B18" s="9">
        <v>-1072</v>
      </c>
      <c r="C18" s="9">
        <v>1648</v>
      </c>
      <c r="D18" s="10">
        <v>699</v>
      </c>
      <c r="E18" s="11">
        <v>1648</v>
      </c>
      <c r="F18" s="12">
        <f t="shared" si="1"/>
        <v>1403.56</v>
      </c>
      <c r="G18" s="9">
        <f t="shared" si="0"/>
        <v>2225</v>
      </c>
      <c r="H18" s="9">
        <v>10225</v>
      </c>
      <c r="I18" s="9"/>
      <c r="J18" s="9"/>
      <c r="K18" s="14">
        <f t="shared" si="4"/>
        <v>968</v>
      </c>
      <c r="L18" s="14">
        <f t="shared" si="2"/>
        <v>323.66</v>
      </c>
      <c r="M18" s="4">
        <f t="shared" si="3"/>
        <v>644.34</v>
      </c>
    </row>
    <row r="19" s="4" customFormat="1" spans="1:13">
      <c r="A19" s="9">
        <v>2034</v>
      </c>
      <c r="B19" s="9">
        <v>-677</v>
      </c>
      <c r="C19" s="9">
        <v>2472</v>
      </c>
      <c r="D19" s="10">
        <v>1341</v>
      </c>
      <c r="E19" s="11">
        <v>2472</v>
      </c>
      <c r="F19" s="12">
        <f t="shared" si="1"/>
        <v>1852.22</v>
      </c>
      <c r="G19" s="9">
        <f t="shared" si="0"/>
        <v>2725</v>
      </c>
      <c r="H19" s="9">
        <v>10725</v>
      </c>
      <c r="I19" s="9"/>
      <c r="J19" s="9"/>
      <c r="K19" s="14">
        <f t="shared" si="4"/>
        <v>824</v>
      </c>
      <c r="L19" s="14">
        <f t="shared" si="2"/>
        <v>448.66</v>
      </c>
      <c r="M19" s="4">
        <f t="shared" si="3"/>
        <v>375.34</v>
      </c>
    </row>
    <row r="20" s="4" customFormat="1" spans="1:13">
      <c r="A20" s="9">
        <v>2036</v>
      </c>
      <c r="B20" s="9">
        <v>-1660</v>
      </c>
      <c r="C20" s="9">
        <v>1548</v>
      </c>
      <c r="D20" s="10">
        <v>406</v>
      </c>
      <c r="E20" s="11">
        <v>1548</v>
      </c>
      <c r="F20" s="12">
        <f t="shared" si="1"/>
        <v>1550.88</v>
      </c>
      <c r="G20" s="9">
        <f t="shared" si="0"/>
        <v>2475</v>
      </c>
      <c r="H20" s="9">
        <v>10475</v>
      </c>
      <c r="I20" s="9"/>
      <c r="J20" s="9"/>
      <c r="K20" s="14">
        <f t="shared" si="4"/>
        <v>-924</v>
      </c>
      <c r="L20" s="14">
        <f t="shared" si="2"/>
        <v>-301.34</v>
      </c>
      <c r="M20" s="4">
        <f t="shared" si="3"/>
        <v>-622.66</v>
      </c>
    </row>
    <row r="21" s="4" customFormat="1" spans="1:13">
      <c r="A21" s="9">
        <v>2038</v>
      </c>
      <c r="B21" s="9">
        <v>-2003</v>
      </c>
      <c r="C21" s="9">
        <v>1456</v>
      </c>
      <c r="D21" s="10">
        <v>221</v>
      </c>
      <c r="E21" s="11">
        <v>1456</v>
      </c>
      <c r="F21" s="12">
        <f t="shared" si="1"/>
        <v>1574.54</v>
      </c>
      <c r="G21" s="9">
        <f t="shared" si="0"/>
        <v>2550</v>
      </c>
      <c r="H21" s="9">
        <v>10550</v>
      </c>
      <c r="I21" s="9"/>
      <c r="J21" s="9"/>
      <c r="K21" s="14">
        <f t="shared" si="4"/>
        <v>-92</v>
      </c>
      <c r="L21" s="14">
        <f t="shared" si="2"/>
        <v>23.6600000000001</v>
      </c>
      <c r="M21" s="4">
        <f t="shared" si="3"/>
        <v>-115.66</v>
      </c>
    </row>
    <row r="22" s="4" customFormat="1" spans="1:13">
      <c r="A22" s="9">
        <v>2040</v>
      </c>
      <c r="B22" s="9">
        <v>-1863</v>
      </c>
      <c r="C22" s="9">
        <v>1511</v>
      </c>
      <c r="D22" s="10">
        <v>337</v>
      </c>
      <c r="E22" s="11">
        <v>1511</v>
      </c>
      <c r="F22" s="12">
        <f t="shared" si="1"/>
        <v>923.2</v>
      </c>
      <c r="G22" s="9">
        <f t="shared" si="0"/>
        <v>1950</v>
      </c>
      <c r="H22" s="9">
        <v>9950</v>
      </c>
      <c r="I22" s="9"/>
      <c r="J22" s="9"/>
      <c r="K22" s="14">
        <f t="shared" si="4"/>
        <v>55</v>
      </c>
      <c r="L22" s="14">
        <f t="shared" si="2"/>
        <v>-651.34</v>
      </c>
      <c r="M22" s="4">
        <f t="shared" si="3"/>
        <v>706.34</v>
      </c>
    </row>
    <row r="23" s="4" customFormat="1" spans="1:13">
      <c r="A23" s="9">
        <v>2042</v>
      </c>
      <c r="B23" s="9">
        <v>-981</v>
      </c>
      <c r="C23" s="9">
        <v>2569</v>
      </c>
      <c r="D23" s="10">
        <v>1340</v>
      </c>
      <c r="E23" s="11">
        <v>2569</v>
      </c>
      <c r="F23" s="12">
        <f t="shared" si="1"/>
        <v>2296.86</v>
      </c>
      <c r="G23" s="9">
        <f t="shared" si="0"/>
        <v>3375</v>
      </c>
      <c r="H23" s="9">
        <v>11375</v>
      </c>
      <c r="I23" s="9"/>
      <c r="J23" s="9"/>
      <c r="K23" s="14">
        <f t="shared" si="4"/>
        <v>1058</v>
      </c>
      <c r="L23" s="14">
        <f t="shared" si="2"/>
        <v>1373.66</v>
      </c>
      <c r="M23" s="4">
        <f t="shared" si="3"/>
        <v>-315.66</v>
      </c>
    </row>
    <row r="24" s="4" customFormat="1" spans="1:13">
      <c r="A24" s="9">
        <v>2044</v>
      </c>
      <c r="B24" s="9">
        <v>-1119</v>
      </c>
      <c r="C24" s="9">
        <v>2352</v>
      </c>
      <c r="D24" s="10">
        <v>1195</v>
      </c>
      <c r="E24" s="11">
        <v>2352</v>
      </c>
      <c r="F24" s="12">
        <f t="shared" si="1"/>
        <v>2070.52</v>
      </c>
      <c r="G24" s="9">
        <f t="shared" si="0"/>
        <v>3200</v>
      </c>
      <c r="H24" s="9">
        <v>11200</v>
      </c>
      <c r="I24" s="9"/>
      <c r="J24" s="9"/>
      <c r="K24" s="14">
        <f t="shared" si="4"/>
        <v>-217</v>
      </c>
      <c r="L24" s="14">
        <f t="shared" si="2"/>
        <v>-226.34</v>
      </c>
      <c r="M24" s="4">
        <f t="shared" si="3"/>
        <v>9.33999999999969</v>
      </c>
    </row>
    <row r="25" s="4" customFormat="1" spans="1:13">
      <c r="A25" s="9">
        <v>2046</v>
      </c>
      <c r="B25" s="9">
        <v>-1455</v>
      </c>
      <c r="C25" s="9">
        <v>2304</v>
      </c>
      <c r="D25" s="10">
        <v>1022</v>
      </c>
      <c r="E25" s="11">
        <v>2304</v>
      </c>
      <c r="F25" s="12">
        <f t="shared" si="1"/>
        <v>2019.18</v>
      </c>
      <c r="G25" s="9">
        <f t="shared" si="0"/>
        <v>3200</v>
      </c>
      <c r="H25" s="9">
        <v>11200</v>
      </c>
      <c r="I25" s="9"/>
      <c r="J25" s="9"/>
      <c r="K25" s="14">
        <f t="shared" si="4"/>
        <v>-48</v>
      </c>
      <c r="L25" s="14">
        <f t="shared" si="2"/>
        <v>-51.3400000000001</v>
      </c>
      <c r="M25" s="4">
        <f t="shared" si="3"/>
        <v>3.34000000000015</v>
      </c>
    </row>
    <row r="26" s="4" customFormat="1" spans="1:13">
      <c r="A26" s="9">
        <v>2048</v>
      </c>
      <c r="B26" s="9">
        <v>-913</v>
      </c>
      <c r="C26" s="9">
        <v>2594</v>
      </c>
      <c r="D26" s="10">
        <v>1471</v>
      </c>
      <c r="E26" s="11">
        <v>2594</v>
      </c>
      <c r="F26" s="12">
        <f t="shared" si="1"/>
        <v>2342.84</v>
      </c>
      <c r="G26" s="9">
        <f t="shared" si="0"/>
        <v>3575</v>
      </c>
      <c r="H26" s="9">
        <v>11575</v>
      </c>
      <c r="I26" s="9"/>
      <c r="J26" s="9"/>
      <c r="K26" s="14">
        <f t="shared" si="4"/>
        <v>290</v>
      </c>
      <c r="L26" s="14">
        <f t="shared" si="2"/>
        <v>323.66</v>
      </c>
      <c r="M26" s="4">
        <f t="shared" si="3"/>
        <v>-33.6600000000003</v>
      </c>
    </row>
    <row r="27" s="4" customFormat="1" spans="1:13">
      <c r="A27" s="9">
        <v>2050</v>
      </c>
      <c r="B27" s="9">
        <v>-668</v>
      </c>
      <c r="C27" s="9">
        <v>2956</v>
      </c>
      <c r="D27" s="10">
        <v>1793</v>
      </c>
      <c r="E27" s="11">
        <v>2956</v>
      </c>
      <c r="F27" s="12">
        <f t="shared" si="1"/>
        <v>2716.5</v>
      </c>
      <c r="G27" s="9">
        <f t="shared" si="0"/>
        <v>4000</v>
      </c>
      <c r="H27" s="9">
        <v>12000</v>
      </c>
      <c r="I27" s="9"/>
      <c r="J27" s="9"/>
      <c r="K27" s="14">
        <f t="shared" si="4"/>
        <v>362</v>
      </c>
      <c r="L27" s="14">
        <f t="shared" si="2"/>
        <v>373.66</v>
      </c>
      <c r="M27" s="4">
        <f t="shared" si="3"/>
        <v>-11.6599999999999</v>
      </c>
    </row>
    <row r="28" s="4" customFormat="1" spans="1:13">
      <c r="A28" s="9">
        <v>2052</v>
      </c>
      <c r="B28" s="9">
        <v>-1414</v>
      </c>
      <c r="C28" s="9">
        <v>2054</v>
      </c>
      <c r="D28" s="10">
        <v>987</v>
      </c>
      <c r="E28" s="11">
        <v>2054</v>
      </c>
      <c r="F28" s="12">
        <f t="shared" si="1"/>
        <v>1865.16</v>
      </c>
      <c r="G28" s="9">
        <f t="shared" si="0"/>
        <v>3200</v>
      </c>
      <c r="H28" s="9">
        <v>11200</v>
      </c>
      <c r="I28" s="9">
        <f>H28-10000</f>
        <v>1200</v>
      </c>
      <c r="J28" s="9"/>
      <c r="K28" s="14">
        <f t="shared" si="4"/>
        <v>-902</v>
      </c>
      <c r="L28" s="14">
        <f t="shared" si="2"/>
        <v>-851.34</v>
      </c>
      <c r="M28" s="4">
        <f t="shared" si="3"/>
        <v>-50.6599999999999</v>
      </c>
    </row>
    <row r="29" s="4" customFormat="1" spans="1:13">
      <c r="A29" s="9">
        <v>2054</v>
      </c>
      <c r="B29" s="9">
        <v>-694</v>
      </c>
      <c r="C29" s="9">
        <v>3260</v>
      </c>
      <c r="D29" s="10">
        <v>1983</v>
      </c>
      <c r="E29" s="11">
        <v>3260</v>
      </c>
      <c r="F29" s="12">
        <f t="shared" si="1"/>
        <v>3413.82</v>
      </c>
      <c r="G29" s="9">
        <f>I29+2000</f>
        <v>4800</v>
      </c>
      <c r="H29" s="9"/>
      <c r="I29" s="9">
        <v>2800</v>
      </c>
      <c r="J29" s="9"/>
      <c r="K29" s="14">
        <f t="shared" si="4"/>
        <v>1206</v>
      </c>
      <c r="L29" s="14">
        <f t="shared" si="2"/>
        <v>1548.66</v>
      </c>
      <c r="M29" s="4">
        <f t="shared" si="3"/>
        <v>-342.66</v>
      </c>
    </row>
    <row r="30" s="4" customFormat="1" spans="1:13">
      <c r="A30" s="9">
        <v>2056</v>
      </c>
      <c r="B30" s="9">
        <v>-1027</v>
      </c>
      <c r="C30" s="9">
        <v>3060</v>
      </c>
      <c r="D30" s="10">
        <v>1735</v>
      </c>
      <c r="E30" s="11">
        <v>3060</v>
      </c>
      <c r="F30" s="12">
        <f t="shared" si="1"/>
        <v>3462.48</v>
      </c>
      <c r="G30" s="9">
        <f t="shared" ref="G30:G46" si="5">I30+2000</f>
        <v>4900</v>
      </c>
      <c r="H30" s="9"/>
      <c r="I30" s="9">
        <v>2900</v>
      </c>
      <c r="J30" s="9"/>
      <c r="K30" s="14">
        <f t="shared" si="4"/>
        <v>-200</v>
      </c>
      <c r="L30" s="14">
        <f t="shared" si="2"/>
        <v>48.6600000000003</v>
      </c>
      <c r="M30" s="4">
        <f t="shared" si="3"/>
        <v>-248.66</v>
      </c>
    </row>
    <row r="31" s="4" customFormat="1" spans="1:13">
      <c r="A31" s="9">
        <v>2058</v>
      </c>
      <c r="B31" s="9">
        <v>-988</v>
      </c>
      <c r="C31" s="9">
        <v>3584</v>
      </c>
      <c r="D31" s="10">
        <v>2050</v>
      </c>
      <c r="E31" s="11">
        <v>3584</v>
      </c>
      <c r="F31" s="12">
        <f t="shared" si="1"/>
        <v>3011.14</v>
      </c>
      <c r="G31" s="9">
        <f t="shared" si="5"/>
        <v>4500</v>
      </c>
      <c r="H31" s="9"/>
      <c r="I31" s="9">
        <v>2500</v>
      </c>
      <c r="J31" s="9"/>
      <c r="K31" s="14">
        <f t="shared" si="4"/>
        <v>524</v>
      </c>
      <c r="L31" s="14">
        <f t="shared" si="2"/>
        <v>-451.34</v>
      </c>
      <c r="M31" s="4">
        <f t="shared" si="3"/>
        <v>975.34</v>
      </c>
    </row>
    <row r="32" s="4" customFormat="1" spans="1:13">
      <c r="A32" s="9">
        <v>2060</v>
      </c>
      <c r="B32" s="9">
        <v>-1954</v>
      </c>
      <c r="C32" s="9">
        <v>2560</v>
      </c>
      <c r="D32" s="10">
        <v>1073</v>
      </c>
      <c r="E32" s="11">
        <v>2560</v>
      </c>
      <c r="F32" s="12">
        <f t="shared" si="1"/>
        <v>1634.8</v>
      </c>
      <c r="G32" s="9">
        <f t="shared" si="5"/>
        <v>3175</v>
      </c>
      <c r="H32" s="9"/>
      <c r="I32" s="9">
        <v>1175</v>
      </c>
      <c r="J32" s="9"/>
      <c r="K32" s="14">
        <f t="shared" si="4"/>
        <v>-1024</v>
      </c>
      <c r="L32" s="14">
        <f t="shared" si="2"/>
        <v>-1376.34</v>
      </c>
      <c r="M32" s="4">
        <f t="shared" si="3"/>
        <v>352.34</v>
      </c>
    </row>
    <row r="33" s="4" customFormat="1" spans="1:13">
      <c r="A33" s="9">
        <v>2062</v>
      </c>
      <c r="B33" s="9">
        <v>-3030</v>
      </c>
      <c r="C33" s="9">
        <v>1551</v>
      </c>
      <c r="D33" s="10">
        <v>49</v>
      </c>
      <c r="E33" s="11">
        <v>1551</v>
      </c>
      <c r="F33" s="12">
        <f t="shared" si="1"/>
        <v>1233.46</v>
      </c>
      <c r="G33" s="9">
        <f t="shared" si="5"/>
        <v>2825</v>
      </c>
      <c r="H33" s="9"/>
      <c r="I33" s="9">
        <v>825</v>
      </c>
      <c r="J33" s="9"/>
      <c r="K33" s="14">
        <f t="shared" si="4"/>
        <v>-1009</v>
      </c>
      <c r="L33" s="14">
        <f t="shared" si="2"/>
        <v>-401.34</v>
      </c>
      <c r="M33" s="4">
        <f t="shared" si="3"/>
        <v>-607.66</v>
      </c>
    </row>
    <row r="34" s="4" customFormat="1" spans="1:13">
      <c r="A34" s="9">
        <v>2064</v>
      </c>
      <c r="B34" s="9">
        <v>-1298</v>
      </c>
      <c r="C34" s="9">
        <v>3324</v>
      </c>
      <c r="D34" s="10">
        <v>1821</v>
      </c>
      <c r="E34" s="11">
        <v>3324</v>
      </c>
      <c r="F34" s="12">
        <f t="shared" si="1"/>
        <v>2357.12</v>
      </c>
      <c r="G34" s="9">
        <f t="shared" si="5"/>
        <v>4000</v>
      </c>
      <c r="H34" s="9"/>
      <c r="I34" s="9">
        <v>2000</v>
      </c>
      <c r="J34" s="9"/>
      <c r="K34" s="14">
        <f t="shared" si="4"/>
        <v>1773</v>
      </c>
      <c r="L34" s="14">
        <f t="shared" si="2"/>
        <v>1123.66</v>
      </c>
      <c r="M34" s="4">
        <f t="shared" si="3"/>
        <v>649.34</v>
      </c>
    </row>
    <row r="35" s="4" customFormat="1" spans="1:13">
      <c r="A35" s="9">
        <v>2066</v>
      </c>
      <c r="B35" s="9">
        <v>-483</v>
      </c>
      <c r="C35" s="9">
        <v>4511</v>
      </c>
      <c r="D35" s="10">
        <v>2854</v>
      </c>
      <c r="E35" s="11">
        <v>4511</v>
      </c>
      <c r="F35" s="12">
        <f t="shared" si="1"/>
        <v>2855.78</v>
      </c>
      <c r="G35" s="9">
        <f t="shared" si="5"/>
        <v>4550</v>
      </c>
      <c r="H35" s="9"/>
      <c r="I35" s="9">
        <v>2550</v>
      </c>
      <c r="J35" s="9"/>
      <c r="K35" s="14">
        <f t="shared" si="4"/>
        <v>1187</v>
      </c>
      <c r="L35" s="14">
        <f t="shared" si="2"/>
        <v>498.66</v>
      </c>
      <c r="M35" s="4">
        <f t="shared" si="3"/>
        <v>688.34</v>
      </c>
    </row>
    <row r="36" s="4" customFormat="1" spans="1:13">
      <c r="A36" s="9">
        <v>2068</v>
      </c>
      <c r="B36" s="9">
        <v>90</v>
      </c>
      <c r="C36" s="9">
        <v>4924</v>
      </c>
      <c r="D36" s="10">
        <v>3380</v>
      </c>
      <c r="E36" s="11">
        <v>4924</v>
      </c>
      <c r="F36" s="12">
        <f t="shared" ref="F36:F53" si="6">G36-51.34*(A36-2000)/2</f>
        <v>3229.44</v>
      </c>
      <c r="G36" s="9">
        <f t="shared" si="5"/>
        <v>4975</v>
      </c>
      <c r="H36" s="9"/>
      <c r="I36" s="9">
        <v>2975</v>
      </c>
      <c r="J36" s="9"/>
      <c r="K36" s="14">
        <f t="shared" ref="K36:K53" si="7">E36-E35</f>
        <v>413</v>
      </c>
      <c r="L36" s="14">
        <f t="shared" ref="L36:L53" si="8">F36-F35</f>
        <v>373.66</v>
      </c>
      <c r="M36" s="4">
        <f t="shared" ref="M36:M53" si="9">K36-L36</f>
        <v>39.3400000000001</v>
      </c>
    </row>
    <row r="37" s="4" customFormat="1" spans="1:13">
      <c r="A37" s="9">
        <v>2070</v>
      </c>
      <c r="B37" s="9">
        <v>134</v>
      </c>
      <c r="C37" s="9">
        <v>5047</v>
      </c>
      <c r="D37" s="10">
        <v>3482</v>
      </c>
      <c r="E37" s="11">
        <v>5047</v>
      </c>
      <c r="F37" s="12">
        <f t="shared" si="6"/>
        <v>3028.1</v>
      </c>
      <c r="G37" s="9">
        <f t="shared" si="5"/>
        <v>4825</v>
      </c>
      <c r="H37" s="9"/>
      <c r="I37" s="9">
        <v>2825</v>
      </c>
      <c r="J37" s="9"/>
      <c r="K37" s="14">
        <f t="shared" si="7"/>
        <v>123</v>
      </c>
      <c r="L37" s="14">
        <f t="shared" si="8"/>
        <v>-201.34</v>
      </c>
      <c r="M37" s="4">
        <f t="shared" si="9"/>
        <v>324.34</v>
      </c>
    </row>
    <row r="38" s="4" customFormat="1" spans="1:13">
      <c r="A38" s="9">
        <v>2072</v>
      </c>
      <c r="B38" s="9">
        <v>-460</v>
      </c>
      <c r="C38" s="9">
        <v>4719</v>
      </c>
      <c r="D38" s="10">
        <v>3054</v>
      </c>
      <c r="E38" s="11">
        <v>4719</v>
      </c>
      <c r="F38" s="12">
        <f t="shared" si="6"/>
        <v>2576.76</v>
      </c>
      <c r="G38" s="9">
        <f t="shared" si="5"/>
        <v>4425</v>
      </c>
      <c r="H38" s="9"/>
      <c r="I38" s="9">
        <v>2425</v>
      </c>
      <c r="J38" s="9"/>
      <c r="K38" s="14">
        <f t="shared" si="7"/>
        <v>-328</v>
      </c>
      <c r="L38" s="14">
        <f t="shared" si="8"/>
        <v>-451.34</v>
      </c>
      <c r="M38" s="4">
        <f t="shared" si="9"/>
        <v>123.34</v>
      </c>
    </row>
    <row r="39" s="4" customFormat="1" spans="1:13">
      <c r="A39" s="9">
        <v>2074</v>
      </c>
      <c r="B39" s="9">
        <v>-320</v>
      </c>
      <c r="C39" s="9">
        <v>4774</v>
      </c>
      <c r="D39" s="10">
        <v>3170</v>
      </c>
      <c r="E39" s="11">
        <v>4774</v>
      </c>
      <c r="F39" s="12">
        <f t="shared" si="6"/>
        <v>2375.42</v>
      </c>
      <c r="G39" s="9">
        <f t="shared" si="5"/>
        <v>4275</v>
      </c>
      <c r="H39" s="9"/>
      <c r="I39" s="9">
        <v>2275</v>
      </c>
      <c r="J39" s="9"/>
      <c r="K39" s="14">
        <f t="shared" si="7"/>
        <v>55</v>
      </c>
      <c r="L39" s="14">
        <f t="shared" si="8"/>
        <v>-201.34</v>
      </c>
      <c r="M39" s="4">
        <f t="shared" si="9"/>
        <v>256.34</v>
      </c>
    </row>
    <row r="40" s="4" customFormat="1" spans="1:13">
      <c r="A40" s="9">
        <v>2076</v>
      </c>
      <c r="B40" s="9">
        <v>369</v>
      </c>
      <c r="C40" s="9">
        <v>6182</v>
      </c>
      <c r="D40" s="10">
        <v>4251</v>
      </c>
      <c r="E40" s="11">
        <v>6182</v>
      </c>
      <c r="F40" s="12">
        <f t="shared" si="6"/>
        <v>3324.08</v>
      </c>
      <c r="G40" s="9">
        <f t="shared" si="5"/>
        <v>5275</v>
      </c>
      <c r="H40" s="9"/>
      <c r="I40" s="9">
        <v>3275</v>
      </c>
      <c r="J40" s="9"/>
      <c r="K40" s="14">
        <f t="shared" si="7"/>
        <v>1408</v>
      </c>
      <c r="L40" s="14">
        <f t="shared" si="8"/>
        <v>948.66</v>
      </c>
      <c r="M40" s="4">
        <f t="shared" si="9"/>
        <v>459.34</v>
      </c>
    </row>
    <row r="41" s="4" customFormat="1" spans="1:13">
      <c r="A41" s="9">
        <v>2078</v>
      </c>
      <c r="B41" s="9">
        <v>-729</v>
      </c>
      <c r="C41" s="9">
        <v>5242</v>
      </c>
      <c r="D41" s="10">
        <v>3251</v>
      </c>
      <c r="E41" s="11">
        <v>5242</v>
      </c>
      <c r="F41" s="12">
        <f t="shared" si="6"/>
        <v>2222.74</v>
      </c>
      <c r="G41" s="9">
        <f t="shared" si="5"/>
        <v>4225</v>
      </c>
      <c r="H41" s="9"/>
      <c r="I41" s="9">
        <v>2225</v>
      </c>
      <c r="J41" s="9"/>
      <c r="K41" s="14">
        <f t="shared" si="7"/>
        <v>-940</v>
      </c>
      <c r="L41" s="14">
        <f t="shared" si="8"/>
        <v>-1101.34</v>
      </c>
      <c r="M41" s="4">
        <f t="shared" si="9"/>
        <v>161.34</v>
      </c>
    </row>
    <row r="42" s="4" customFormat="1" spans="1:13">
      <c r="A42" s="9">
        <v>2080</v>
      </c>
      <c r="B42" s="9">
        <v>259</v>
      </c>
      <c r="C42" s="9">
        <v>6224</v>
      </c>
      <c r="D42" s="10">
        <v>4254</v>
      </c>
      <c r="E42" s="11">
        <v>6224</v>
      </c>
      <c r="F42" s="12">
        <f t="shared" si="6"/>
        <v>2596.4</v>
      </c>
      <c r="G42" s="9">
        <f t="shared" si="5"/>
        <v>4650</v>
      </c>
      <c r="H42" s="9"/>
      <c r="I42" s="9">
        <v>2650</v>
      </c>
      <c r="J42" s="9"/>
      <c r="K42" s="14">
        <f t="shared" si="7"/>
        <v>982</v>
      </c>
      <c r="L42" s="14">
        <f t="shared" si="8"/>
        <v>373.66</v>
      </c>
      <c r="M42" s="4">
        <f t="shared" si="9"/>
        <v>608.34</v>
      </c>
    </row>
    <row r="43" s="4" customFormat="1" spans="1:13">
      <c r="A43" s="9">
        <v>2082</v>
      </c>
      <c r="B43" s="9">
        <v>538</v>
      </c>
      <c r="C43" s="9">
        <v>6554</v>
      </c>
      <c r="D43" s="10">
        <v>4591</v>
      </c>
      <c r="E43" s="11">
        <v>6554</v>
      </c>
      <c r="F43" s="12">
        <f t="shared" si="6"/>
        <v>3320.06</v>
      </c>
      <c r="G43" s="9">
        <f t="shared" si="5"/>
        <v>5425</v>
      </c>
      <c r="H43" s="9"/>
      <c r="I43" s="9">
        <v>3425</v>
      </c>
      <c r="J43" s="9"/>
      <c r="K43" s="14">
        <f t="shared" si="7"/>
        <v>330</v>
      </c>
      <c r="L43" s="14">
        <f t="shared" si="8"/>
        <v>723.66</v>
      </c>
      <c r="M43" s="4">
        <f t="shared" si="9"/>
        <v>-393.66</v>
      </c>
    </row>
    <row r="44" s="4" customFormat="1" spans="1:13">
      <c r="A44" s="9">
        <v>2084</v>
      </c>
      <c r="B44" s="9">
        <v>437</v>
      </c>
      <c r="C44" s="9">
        <v>6735</v>
      </c>
      <c r="D44" s="10">
        <v>4664</v>
      </c>
      <c r="E44" s="11">
        <v>6735</v>
      </c>
      <c r="F44" s="12">
        <f t="shared" si="6"/>
        <v>2943.72</v>
      </c>
      <c r="G44" s="9">
        <f t="shared" si="5"/>
        <v>5100</v>
      </c>
      <c r="H44" s="9"/>
      <c r="I44" s="9">
        <v>3100</v>
      </c>
      <c r="J44" s="9"/>
      <c r="K44" s="14">
        <f t="shared" si="7"/>
        <v>181</v>
      </c>
      <c r="L44" s="14">
        <f t="shared" si="8"/>
        <v>-376.34</v>
      </c>
      <c r="M44" s="4">
        <f t="shared" si="9"/>
        <v>557.34</v>
      </c>
    </row>
    <row r="45" s="4" customFormat="1" spans="1:13">
      <c r="A45" s="9">
        <v>2086</v>
      </c>
      <c r="B45" s="9">
        <v>30</v>
      </c>
      <c r="C45" s="9">
        <v>6391</v>
      </c>
      <c r="D45" s="10">
        <v>4308</v>
      </c>
      <c r="E45" s="11">
        <v>6391</v>
      </c>
      <c r="F45" s="12">
        <f t="shared" si="6"/>
        <v>1567.38</v>
      </c>
      <c r="G45" s="9">
        <f t="shared" si="5"/>
        <v>3775</v>
      </c>
      <c r="H45" s="9"/>
      <c r="I45" s="9">
        <v>1775</v>
      </c>
      <c r="J45" s="9"/>
      <c r="K45" s="14">
        <f t="shared" si="7"/>
        <v>-344</v>
      </c>
      <c r="L45" s="14">
        <f t="shared" si="8"/>
        <v>-1376.34</v>
      </c>
      <c r="M45" s="4">
        <f t="shared" si="9"/>
        <v>1032.34</v>
      </c>
    </row>
    <row r="46" s="4" customFormat="1" spans="1:13">
      <c r="A46" s="9">
        <v>2088</v>
      </c>
      <c r="B46" s="9">
        <v>-453</v>
      </c>
      <c r="C46" s="9">
        <v>5782</v>
      </c>
      <c r="D46" s="10">
        <v>3794</v>
      </c>
      <c r="E46" s="11">
        <v>5782</v>
      </c>
      <c r="F46" s="12">
        <f t="shared" si="6"/>
        <v>341.04</v>
      </c>
      <c r="G46" s="9">
        <f t="shared" si="5"/>
        <v>2600</v>
      </c>
      <c r="H46" s="9"/>
      <c r="I46" s="9">
        <v>600</v>
      </c>
      <c r="J46" s="9">
        <f>I46+2000</f>
        <v>2600</v>
      </c>
      <c r="K46" s="14">
        <f t="shared" si="7"/>
        <v>-609</v>
      </c>
      <c r="L46" s="14">
        <f t="shared" si="8"/>
        <v>-1226.34</v>
      </c>
      <c r="M46" s="4">
        <f t="shared" si="9"/>
        <v>617.34</v>
      </c>
    </row>
    <row r="47" s="4" customFormat="1" spans="1:13">
      <c r="A47" s="9">
        <v>2090</v>
      </c>
      <c r="B47" s="9">
        <v>-1047</v>
      </c>
      <c r="C47" s="9">
        <v>4627</v>
      </c>
      <c r="D47" s="10">
        <v>2952</v>
      </c>
      <c r="E47" s="11">
        <v>4627</v>
      </c>
      <c r="F47" s="12">
        <f t="shared" si="6"/>
        <v>-810.3</v>
      </c>
      <c r="G47" s="9">
        <f>J47</f>
        <v>1500</v>
      </c>
      <c r="H47" s="9"/>
      <c r="I47" s="9"/>
      <c r="J47" s="9">
        <v>1500</v>
      </c>
      <c r="K47" s="14">
        <f t="shared" si="7"/>
        <v>-1155</v>
      </c>
      <c r="L47" s="14">
        <f t="shared" si="8"/>
        <v>-1151.34</v>
      </c>
      <c r="M47" s="4">
        <f t="shared" si="9"/>
        <v>-3.65999999999985</v>
      </c>
    </row>
    <row r="48" s="4" customFormat="1" spans="1:13">
      <c r="A48" s="9">
        <v>2092</v>
      </c>
      <c r="B48" s="9">
        <v>-1797</v>
      </c>
      <c r="C48" s="9">
        <v>3895</v>
      </c>
      <c r="D48" s="10">
        <v>2230</v>
      </c>
      <c r="E48" s="11">
        <v>3895</v>
      </c>
      <c r="F48" s="12">
        <f t="shared" si="6"/>
        <v>-1586.64</v>
      </c>
      <c r="G48" s="9">
        <f t="shared" ref="G48:G53" si="10">J48</f>
        <v>775</v>
      </c>
      <c r="H48" s="9"/>
      <c r="I48" s="9"/>
      <c r="J48" s="9">
        <v>775</v>
      </c>
      <c r="K48" s="14">
        <f t="shared" si="7"/>
        <v>-732</v>
      </c>
      <c r="L48" s="14">
        <f t="shared" si="8"/>
        <v>-776.34</v>
      </c>
      <c r="M48" s="4">
        <f t="shared" si="9"/>
        <v>44.3400000000001</v>
      </c>
    </row>
    <row r="49" s="4" customFormat="1" spans="1:13">
      <c r="A49" s="9">
        <v>2094</v>
      </c>
      <c r="B49" s="9">
        <v>-898</v>
      </c>
      <c r="C49" s="9">
        <v>4802</v>
      </c>
      <c r="D49" s="10">
        <v>3152</v>
      </c>
      <c r="E49" s="11">
        <v>4802</v>
      </c>
      <c r="F49" s="12">
        <f t="shared" si="6"/>
        <v>-637.98</v>
      </c>
      <c r="G49" s="9">
        <f t="shared" si="10"/>
        <v>1775</v>
      </c>
      <c r="H49" s="9"/>
      <c r="I49" s="9"/>
      <c r="J49" s="9">
        <v>1775</v>
      </c>
      <c r="K49" s="14">
        <f t="shared" si="7"/>
        <v>907</v>
      </c>
      <c r="L49" s="14">
        <f t="shared" si="8"/>
        <v>948.66</v>
      </c>
      <c r="M49" s="4">
        <f t="shared" si="9"/>
        <v>-41.6600000000003</v>
      </c>
    </row>
    <row r="50" s="4" customFormat="1" spans="1:13">
      <c r="A50" s="9">
        <v>2096</v>
      </c>
      <c r="B50" s="9">
        <v>-1183</v>
      </c>
      <c r="C50" s="9">
        <v>4618</v>
      </c>
      <c r="D50" s="10">
        <v>2950</v>
      </c>
      <c r="E50" s="11">
        <v>4618</v>
      </c>
      <c r="F50" s="12">
        <f t="shared" si="6"/>
        <v>-1014.32</v>
      </c>
      <c r="G50" s="9">
        <f t="shared" si="10"/>
        <v>1450</v>
      </c>
      <c r="H50" s="9"/>
      <c r="I50" s="9"/>
      <c r="J50" s="9">
        <v>1450</v>
      </c>
      <c r="K50" s="14">
        <f t="shared" si="7"/>
        <v>-184</v>
      </c>
      <c r="L50" s="14">
        <f t="shared" si="8"/>
        <v>-376.34</v>
      </c>
      <c r="M50" s="4">
        <f t="shared" si="9"/>
        <v>192.34</v>
      </c>
    </row>
    <row r="51" s="4" customFormat="1" spans="1:13">
      <c r="A51" s="9">
        <v>2098</v>
      </c>
      <c r="B51" s="9">
        <v>-368</v>
      </c>
      <c r="C51" s="9">
        <v>5805</v>
      </c>
      <c r="D51" s="10">
        <v>3984</v>
      </c>
      <c r="E51" s="11">
        <v>5805</v>
      </c>
      <c r="F51" s="12">
        <f t="shared" si="6"/>
        <v>-240.66</v>
      </c>
      <c r="G51" s="9">
        <f t="shared" si="10"/>
        <v>2275</v>
      </c>
      <c r="H51" s="9"/>
      <c r="I51" s="9"/>
      <c r="J51" s="9">
        <v>2275</v>
      </c>
      <c r="K51" s="14">
        <f t="shared" si="7"/>
        <v>1187</v>
      </c>
      <c r="L51" s="14">
        <f t="shared" si="8"/>
        <v>773.66</v>
      </c>
      <c r="M51" s="4">
        <f t="shared" si="9"/>
        <v>413.34</v>
      </c>
    </row>
    <row r="52" s="4" customFormat="1" spans="1:13">
      <c r="A52" s="9">
        <v>2100</v>
      </c>
      <c r="B52" s="9">
        <v>153</v>
      </c>
      <c r="C52" s="9">
        <v>6583</v>
      </c>
      <c r="D52" s="10">
        <v>4666</v>
      </c>
      <c r="E52" s="11">
        <v>6583</v>
      </c>
      <c r="F52" s="12">
        <f t="shared" si="6"/>
        <v>1008</v>
      </c>
      <c r="G52" s="9">
        <f t="shared" si="10"/>
        <v>3575</v>
      </c>
      <c r="H52" s="9"/>
      <c r="I52" s="9"/>
      <c r="J52" s="9">
        <v>3575</v>
      </c>
      <c r="K52" s="14">
        <f t="shared" si="7"/>
        <v>778</v>
      </c>
      <c r="L52" s="14">
        <f t="shared" si="8"/>
        <v>1248.66</v>
      </c>
      <c r="M52" s="4">
        <f t="shared" si="9"/>
        <v>-470.66</v>
      </c>
    </row>
    <row r="53" s="4" customFormat="1" spans="1:13">
      <c r="A53" s="9">
        <v>2102</v>
      </c>
      <c r="B53" s="9">
        <v>1078</v>
      </c>
      <c r="C53" s="9">
        <v>8164</v>
      </c>
      <c r="D53" s="10">
        <v>5952</v>
      </c>
      <c r="E53" s="11">
        <v>8164</v>
      </c>
      <c r="F53" s="12">
        <f t="shared" si="6"/>
        <v>2406.66</v>
      </c>
      <c r="G53" s="9">
        <f t="shared" si="10"/>
        <v>5025</v>
      </c>
      <c r="H53" s="9"/>
      <c r="I53" s="9"/>
      <c r="J53" s="9">
        <v>5025</v>
      </c>
      <c r="K53" s="14">
        <f t="shared" si="7"/>
        <v>1581</v>
      </c>
      <c r="L53" s="14">
        <f t="shared" si="8"/>
        <v>1398.66</v>
      </c>
      <c r="M53" s="4">
        <f t="shared" si="9"/>
        <v>182.34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175" zoomScaleNormal="175" workbookViewId="0">
      <selection activeCell="E12" sqref="E12"/>
    </sheetView>
  </sheetViews>
  <sheetFormatPr defaultColWidth="10.625" defaultRowHeight="13.5" outlineLevelCol="6"/>
  <cols>
    <col min="1" max="16383" width="10.625" style="1" customWidth="1"/>
    <col min="16384" max="16384" width="10.625" style="3"/>
  </cols>
  <sheetData>
    <row r="1" s="1" customFormat="1" spans="2:7">
      <c r="B1" s="1" t="s">
        <v>9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="1" customFormat="1" spans="1:7">
      <c r="A2" s="1" t="s">
        <v>10</v>
      </c>
      <c r="B2" s="1" t="s">
        <v>11</v>
      </c>
      <c r="C2" s="1">
        <v>102</v>
      </c>
      <c r="D2" s="1">
        <v>101</v>
      </c>
      <c r="E2" s="1">
        <v>104</v>
      </c>
      <c r="F2" s="1">
        <v>107</v>
      </c>
      <c r="G2" s="1">
        <v>131</v>
      </c>
    </row>
    <row r="3" s="1" customFormat="1" hidden="1" spans="1:7">
      <c r="A3" s="1" t="s">
        <v>12</v>
      </c>
      <c r="C3" s="1">
        <v>65</v>
      </c>
      <c r="D3" s="1">
        <v>110</v>
      </c>
      <c r="E3" s="1">
        <v>83</v>
      </c>
      <c r="F3" s="1">
        <v>109</v>
      </c>
      <c r="G3" s="1">
        <v>124</v>
      </c>
    </row>
    <row r="4" s="1" customFormat="1" hidden="1" spans="1:7">
      <c r="A4" s="1" t="s">
        <v>13</v>
      </c>
      <c r="C4" s="1">
        <v>60</v>
      </c>
      <c r="D4" s="1">
        <v>72</v>
      </c>
      <c r="E4" s="1">
        <v>39</v>
      </c>
      <c r="F4" s="1">
        <v>33</v>
      </c>
      <c r="G4" s="1">
        <v>68</v>
      </c>
    </row>
    <row r="5" s="1" customFormat="1" spans="1:7">
      <c r="A5" s="1" t="s">
        <v>14</v>
      </c>
      <c r="B5" s="1" t="s">
        <v>11</v>
      </c>
      <c r="C5" s="1">
        <f t="shared" ref="C5:G5" si="0">SUM(C3:C4)</f>
        <v>125</v>
      </c>
      <c r="D5" s="1">
        <f t="shared" si="0"/>
        <v>182</v>
      </c>
      <c r="E5" s="1">
        <f t="shared" si="0"/>
        <v>122</v>
      </c>
      <c r="F5" s="1">
        <f t="shared" si="0"/>
        <v>142</v>
      </c>
      <c r="G5" s="1">
        <f t="shared" si="0"/>
        <v>192</v>
      </c>
    </row>
    <row r="6" s="1" customFormat="1" spans="1:7">
      <c r="A6" s="1" t="s">
        <v>15</v>
      </c>
      <c r="B6" s="1" t="s">
        <v>11</v>
      </c>
      <c r="C6" s="1">
        <f t="shared" ref="C6:G6" si="1">C5-C2</f>
        <v>23</v>
      </c>
      <c r="D6" s="1">
        <f t="shared" si="1"/>
        <v>81</v>
      </c>
      <c r="E6" s="1">
        <f t="shared" si="1"/>
        <v>18</v>
      </c>
      <c r="F6" s="1">
        <f t="shared" si="1"/>
        <v>35</v>
      </c>
      <c r="G6" s="1">
        <f t="shared" si="1"/>
        <v>61</v>
      </c>
    </row>
    <row r="7" s="2" customFormat="1" spans="1:7">
      <c r="A7" s="2" t="s">
        <v>16</v>
      </c>
      <c r="B7" s="2">
        <f>SUM(C7:G7)</f>
        <v>1105.79710144928</v>
      </c>
      <c r="C7" s="2">
        <f t="shared" ref="C7:G7" si="2">C6/138*700</f>
        <v>116.666666666667</v>
      </c>
      <c r="D7" s="2">
        <f t="shared" si="2"/>
        <v>410.869565217391</v>
      </c>
      <c r="E7" s="2">
        <f t="shared" si="2"/>
        <v>91.304347826087</v>
      </c>
      <c r="F7" s="2">
        <f t="shared" si="2"/>
        <v>177.536231884058</v>
      </c>
      <c r="G7" s="2">
        <f t="shared" si="2"/>
        <v>309.420289855072</v>
      </c>
    </row>
    <row r="9" spans="1:5">
      <c r="A9" s="1" t="s">
        <v>17</v>
      </c>
      <c r="B9" s="1">
        <v>1200</v>
      </c>
      <c r="D9" s="1" t="s">
        <v>18</v>
      </c>
      <c r="E9" s="1">
        <v>5025</v>
      </c>
    </row>
    <row r="10" spans="1:5">
      <c r="A10" s="1" t="s">
        <v>19</v>
      </c>
      <c r="B10" s="1">
        <f>B7</f>
        <v>1105.79710144928</v>
      </c>
      <c r="D10" s="1" t="s">
        <v>20</v>
      </c>
      <c r="E10" s="1">
        <f>B12</f>
        <v>2618.29710144928</v>
      </c>
    </row>
    <row r="11" spans="1:5">
      <c r="A11" s="1" t="s">
        <v>21</v>
      </c>
      <c r="B11" s="1">
        <f>125*2.5</f>
        <v>312.5</v>
      </c>
      <c r="D11" s="1" t="s">
        <v>22</v>
      </c>
      <c r="E11" s="1">
        <f>E9-E10</f>
        <v>2406.70289855072</v>
      </c>
    </row>
    <row r="12" spans="1:2">
      <c r="A12" s="1" t="s">
        <v>23</v>
      </c>
      <c r="B12" s="1">
        <f>SUM(B9:B11)</f>
        <v>2618.29710144928</v>
      </c>
    </row>
    <row r="13" spans="1:2">
      <c r="A13" s="1" t="s">
        <v>24</v>
      </c>
      <c r="B13" s="1">
        <f>B12/51</f>
        <v>51.3391588519466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冲关</vt:lpstr>
      <vt:lpstr>曾损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2025-05-03T20:56:00Z</dcterms:created>
  <dcterms:modified xsi:type="dcterms:W3CDTF">2025-05-03T22:02:07Z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9681E0920F754FB79C1E0D3F83104BDD_12</vt:lpwstr>
  </property>
  <property fmtid="{D5CDD505-2E9C-101B-9397-08002B2CF9AE}" pid="3" name="KSOProductBuildVer">
    <vt:lpwstr>2052-11.1.0.14036</vt:lpwstr>
  </property>
</Properties>
</file>