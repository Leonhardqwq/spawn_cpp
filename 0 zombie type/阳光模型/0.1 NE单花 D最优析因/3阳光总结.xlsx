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00" windowHeight="13215"/>
  </bookViews>
  <sheets>
    <sheet name="期望" sheetId="1" r:id="rId1"/>
    <sheet name="破阵率" sheetId="2" r:id="rId2"/>
    <sheet name="最难区间" sheetId="3" r:id="rId3"/>
  </sheets>
  <calcPr calcId="144525"/>
</workbook>
</file>

<file path=xl/sharedStrings.xml><?xml version="1.0" encoding="utf-8"?>
<sst xmlns="http://schemas.openxmlformats.org/spreadsheetml/2006/main" count="38" uniqueCount="26">
  <si>
    <t>无红</t>
  </si>
  <si>
    <t>红</t>
  </si>
  <si>
    <t>c</t>
  </si>
  <si>
    <t>系数</t>
  </si>
  <si>
    <t>最难区间</t>
  </si>
  <si>
    <t>区间长度</t>
  </si>
  <si>
    <t>橄榄</t>
  </si>
  <si>
    <t>冰车</t>
  </si>
  <si>
    <t>舞王</t>
  </si>
  <si>
    <t>气球</t>
  </si>
  <si>
    <t>权重和</t>
  </si>
  <si>
    <t>矿工</t>
  </si>
  <si>
    <t>红眼</t>
  </si>
  <si>
    <t>分开</t>
  </si>
  <si>
    <t>合并</t>
  </si>
  <si>
    <t>百轮</t>
  </si>
  <si>
    <t>千轮</t>
  </si>
  <si>
    <t>万轮</t>
  </si>
  <si>
    <t>百f</t>
  </si>
  <si>
    <t>千f</t>
  </si>
  <si>
    <t>万f</t>
  </si>
  <si>
    <t>起</t>
  </si>
  <si>
    <t>终</t>
  </si>
  <si>
    <t>rng seed</t>
  </si>
  <si>
    <t>real seed</t>
  </si>
  <si>
    <t>A21EDCA5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</si>
</sst>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.5"/>
      <name val="宋体"/>
      <charset val="134"/>
    </font>
    <font>
      <sz val="10.5"/>
      <color theme="1"/>
      <name val="宋体"/>
      <charset val="134"/>
    </font>
    <font>
      <sz val="11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1" borderId="2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zoomScale="175" zoomScaleNormal="175" topLeftCell="B1" workbookViewId="0">
      <selection activeCell="H16" sqref="H16"/>
    </sheetView>
  </sheetViews>
  <sheetFormatPr defaultColWidth="10.625" defaultRowHeight="13.5"/>
  <cols>
    <col min="1" max="7" width="10.625" style="5" customWidth="1"/>
    <col min="8" max="8" width="13.5" style="5" customWidth="1"/>
    <col min="9" max="16384" width="10.625" style="5" customWidth="1"/>
  </cols>
  <sheetData>
    <row r="1" spans="1:3">
      <c r="A1" s="5" t="s">
        <v>0</v>
      </c>
      <c r="C1" s="5" t="s">
        <v>1</v>
      </c>
    </row>
    <row r="2" spans="1:9">
      <c r="A2" s="6" t="s">
        <v>2</v>
      </c>
      <c r="B2" s="6">
        <v>65.52</v>
      </c>
      <c r="C2" s="7" t="s">
        <v>2</v>
      </c>
      <c r="D2" s="7">
        <v>37.17</v>
      </c>
      <c r="E2" s="8"/>
      <c r="G2" s="5" t="s">
        <v>3</v>
      </c>
      <c r="H2" s="5" t="s">
        <v>4</v>
      </c>
      <c r="I2" s="5" t="s">
        <v>5</v>
      </c>
    </row>
    <row r="3" spans="1:9">
      <c r="A3" s="6" t="s">
        <v>6</v>
      </c>
      <c r="B3" s="6">
        <v>382.901772</v>
      </c>
      <c r="C3" s="7" t="s">
        <v>6</v>
      </c>
      <c r="D3" s="7">
        <v>744.728295</v>
      </c>
      <c r="E3" s="8"/>
      <c r="F3" s="9" t="s">
        <v>6</v>
      </c>
      <c r="G3" s="10">
        <v>790.802476</v>
      </c>
      <c r="H3" s="5">
        <v>296</v>
      </c>
      <c r="I3" s="5">
        <v>545</v>
      </c>
    </row>
    <row r="4" spans="1:9">
      <c r="A4" s="6" t="s">
        <v>7</v>
      </c>
      <c r="B4" s="6">
        <v>177.467098</v>
      </c>
      <c r="C4" s="7" t="s">
        <v>8</v>
      </c>
      <c r="D4" s="7">
        <v>492.301845</v>
      </c>
      <c r="E4" s="8"/>
      <c r="F4" s="9" t="s">
        <v>8</v>
      </c>
      <c r="G4" s="10">
        <v>325.713051</v>
      </c>
      <c r="H4" s="5">
        <v>284</v>
      </c>
      <c r="I4" s="5">
        <v>545</v>
      </c>
    </row>
    <row r="5" spans="1:9">
      <c r="A5" s="6" t="s">
        <v>9</v>
      </c>
      <c r="B5" s="6">
        <v>989.198988</v>
      </c>
      <c r="C5" s="7" t="s">
        <v>7</v>
      </c>
      <c r="D5" s="7">
        <v>470.534577</v>
      </c>
      <c r="E5" s="8"/>
      <c r="F5" s="9" t="s">
        <v>7</v>
      </c>
      <c r="G5" s="10">
        <v>415.834477</v>
      </c>
      <c r="H5" s="5">
        <v>285</v>
      </c>
      <c r="I5" s="5">
        <v>545</v>
      </c>
    </row>
    <row r="6" spans="1:9">
      <c r="A6" s="6" t="s">
        <v>10</v>
      </c>
      <c r="B6" s="6">
        <v>-734.602994</v>
      </c>
      <c r="C6" s="7" t="s">
        <v>9</v>
      </c>
      <c r="D6" s="7">
        <v>1159.612185</v>
      </c>
      <c r="E6" s="8"/>
      <c r="F6" s="9" t="s">
        <v>9</v>
      </c>
      <c r="G6" s="10">
        <v>1151.939574</v>
      </c>
      <c r="H6" s="5">
        <v>313</v>
      </c>
      <c r="I6" s="5">
        <v>545</v>
      </c>
    </row>
    <row r="7" spans="3:9">
      <c r="C7" s="7" t="s">
        <v>11</v>
      </c>
      <c r="D7" s="7">
        <v>563.714017</v>
      </c>
      <c r="E7" s="8"/>
      <c r="F7" s="9" t="s">
        <v>11</v>
      </c>
      <c r="G7" s="10">
        <v>500.915951</v>
      </c>
      <c r="H7" s="5">
        <v>290</v>
      </c>
      <c r="I7" s="5">
        <v>545</v>
      </c>
    </row>
    <row r="8" spans="3:9">
      <c r="C8" s="7" t="s">
        <v>10</v>
      </c>
      <c r="D8" s="7">
        <v>-1079.057199</v>
      </c>
      <c r="E8" s="8"/>
      <c r="F8" s="9" t="s">
        <v>12</v>
      </c>
      <c r="G8" s="10">
        <v>622.581711</v>
      </c>
      <c r="H8" s="5">
        <v>311</v>
      </c>
      <c r="I8" s="5">
        <v>545</v>
      </c>
    </row>
    <row r="9" spans="6:8">
      <c r="F9" s="9" t="s">
        <v>10</v>
      </c>
      <c r="G9" s="10">
        <v>-1460.707642</v>
      </c>
      <c r="H9" s="5">
        <v>1.35</v>
      </c>
    </row>
    <row r="10" spans="1:8">
      <c r="A10" s="5">
        <v>1.3656</v>
      </c>
      <c r="B10" s="5">
        <f>SUM(B3:B5)*0.5+B2+B6*A10</f>
        <v>-162.8699196064</v>
      </c>
      <c r="C10" s="5">
        <v>1.3656</v>
      </c>
      <c r="D10" s="5">
        <f>SUM(D3:D7)*0.5+D2+C10*D8</f>
        <v>279.0549485456</v>
      </c>
      <c r="F10" s="5">
        <v>1.3656</v>
      </c>
      <c r="G10" s="5">
        <f>SUM(G3:G8)*0.5+G9*F10</f>
        <v>-90.8487359152002</v>
      </c>
      <c r="H10" s="5">
        <f>SUMPRODUCT(G3:G8,H3:H8)+G9*H9*I3</f>
        <v>69822.8422964998</v>
      </c>
    </row>
    <row r="12" spans="2:2">
      <c r="B12" s="5">
        <f>AVERAGE(B10,D10)</f>
        <v>58.0925144696</v>
      </c>
    </row>
  </sheetData>
  <mergeCells count="2">
    <mergeCell ref="A1:B1"/>
    <mergeCell ref="C1:D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9"/>
  <sheetViews>
    <sheetView zoomScale="250" zoomScaleNormal="250" workbookViewId="0">
      <selection activeCell="C7" sqref="C7:C9"/>
    </sheetView>
  </sheetViews>
  <sheetFormatPr defaultColWidth="9" defaultRowHeight="13.5" outlineLevelCol="3"/>
  <cols>
    <col min="1" max="16384" width="9" style="2"/>
  </cols>
  <sheetData>
    <row r="1" spans="3:4">
      <c r="C1" s="2" t="s">
        <v>13</v>
      </c>
      <c r="D1" s="2" t="s">
        <v>14</v>
      </c>
    </row>
    <row r="2" spans="2:4">
      <c r="B2" s="2" t="s">
        <v>15</v>
      </c>
      <c r="C2" s="2">
        <v>30.46</v>
      </c>
      <c r="D2" s="2">
        <v>4.84</v>
      </c>
    </row>
    <row r="3" spans="2:4">
      <c r="B3" s="2" t="s">
        <v>16</v>
      </c>
      <c r="C3" s="2">
        <v>99.94</v>
      </c>
      <c r="D3" s="2">
        <v>57</v>
      </c>
    </row>
    <row r="4" spans="2:4">
      <c r="B4" s="2" t="s">
        <v>17</v>
      </c>
      <c r="C4" s="2">
        <v>100</v>
      </c>
      <c r="D4" s="2">
        <v>99.98</v>
      </c>
    </row>
    <row r="6" spans="3:3">
      <c r="C6" s="2" t="s">
        <v>14</v>
      </c>
    </row>
    <row r="7" spans="2:3">
      <c r="B7" s="3" t="s">
        <v>18</v>
      </c>
      <c r="C7" s="4">
        <v>1.25</v>
      </c>
    </row>
    <row r="8" spans="2:3">
      <c r="B8" s="3" t="s">
        <v>19</v>
      </c>
      <c r="C8" s="4">
        <v>32.8</v>
      </c>
    </row>
    <row r="9" spans="2:3">
      <c r="B9" s="3" t="s">
        <v>20</v>
      </c>
      <c r="C9" s="4">
        <v>98.54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8"/>
  <sheetViews>
    <sheetView zoomScale="190" zoomScaleNormal="190" workbookViewId="0">
      <selection activeCell="B14" sqref="B14"/>
    </sheetView>
  </sheetViews>
  <sheetFormatPr defaultColWidth="9" defaultRowHeight="13.5" outlineLevelRow="7" outlineLevelCol="3"/>
  <cols>
    <col min="1" max="1" width="9" style="1"/>
    <col min="2" max="2" width="12.625" style="1"/>
    <col min="3" max="3" width="11.5" style="1"/>
    <col min="4" max="4" width="10.375" style="1"/>
    <col min="5" max="16384" width="9" style="1"/>
  </cols>
  <sheetData>
    <row r="2" spans="3:4">
      <c r="C2" s="1" t="s">
        <v>21</v>
      </c>
      <c r="D2" s="1" t="s">
        <v>22</v>
      </c>
    </row>
    <row r="3" spans="2:4">
      <c r="B3" s="1">
        <v>69743.23373</v>
      </c>
      <c r="C3" s="1">
        <v>749846303</v>
      </c>
      <c r="D3" s="1">
        <v>749846847</v>
      </c>
    </row>
    <row r="5" spans="3:3">
      <c r="C5" s="1">
        <f>D3-C3</f>
        <v>544</v>
      </c>
    </row>
    <row r="7" spans="2:3">
      <c r="B7" s="1" t="s">
        <v>23</v>
      </c>
      <c r="C7" s="1">
        <v>2720032571</v>
      </c>
    </row>
    <row r="8" spans="2:3">
      <c r="B8" s="1" t="s">
        <v>24</v>
      </c>
      <c r="C8" s="1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期望</vt:lpstr>
      <vt:lpstr>破阵率</vt:lpstr>
      <vt:lpstr>最难区间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乔荔(2022012959)</cp:lastModifiedBy>
  <dcterms:created xsi:type="dcterms:W3CDTF">2025-05-03T18:12:00Z</dcterms:created>
  <dcterms:modified xsi:type="dcterms:W3CDTF">2025-05-10T00:53:12Z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E5D0200F50C649E993E86DB9E3BCD7C5_12</vt:lpwstr>
  </property>
  <property fmtid="{D5CDD505-2E9C-101B-9397-08002B2CF9AE}" pid="3" name="KSOProductBuildVer">
    <vt:lpwstr>2052-11.1.0.14036</vt:lpwstr>
  </property>
</Properties>
</file>