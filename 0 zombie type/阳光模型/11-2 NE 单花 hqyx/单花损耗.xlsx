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65" windowHeight="7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<sst xmlns="http://schemas.openxmlformats.org/spreadsheetml/2006/main" count="108" uniqueCount="47">
  <si>
    <t>2000-2002</t>
  </si>
  <si>
    <t>2002-2004</t>
  </si>
  <si>
    <t>2004-2006</t>
  </si>
  <si>
    <t>2006-2008</t>
  </si>
  <si>
    <t>2008-2010</t>
  </si>
  <si>
    <t>2010-2012</t>
  </si>
  <si>
    <t>2012-2014</t>
  </si>
  <si>
    <t>2014-2016</t>
  </si>
  <si>
    <t>2016-2018</t>
  </si>
  <si>
    <t>2018-2020</t>
  </si>
  <si>
    <t>2020-2022</t>
  </si>
  <si>
    <t>2022-2024</t>
  </si>
  <si>
    <t>2024-2026</t>
  </si>
  <si>
    <t>2026-2028</t>
  </si>
  <si>
    <t>2028-2030</t>
  </si>
  <si>
    <t>2030-2032</t>
  </si>
  <si>
    <t>813F1A7C</t>
  </si>
  <si>
    <t>本关使用仙人掌</t>
  </si>
  <si>
    <t>底线南瓜</t>
  </si>
  <si>
    <t>开始</t>
  </si>
  <si>
    <t>结束</t>
  </si>
  <si>
    <t>啃食墓碑</t>
  </si>
  <si>
    <t>裂夹</t>
  </si>
  <si>
    <t>结束南瓜血</t>
  </si>
  <si>
    <t>起始</t>
  </si>
  <si>
    <t xml:space="preserve"> 差值</t>
  </si>
  <si>
    <t>阳光差值</t>
  </si>
  <si>
    <t>#45447EC9</t>
  </si>
  <si>
    <t>#11FC17F8</t>
  </si>
  <si>
    <t>#00A6A695</t>
  </si>
  <si>
    <t>#070C2E02</t>
  </si>
  <si>
    <t>总南瓜数量</t>
  </si>
  <si>
    <t>曾损</t>
  </si>
  <si>
    <t>44hp</t>
  </si>
  <si>
    <t>曾损阳光</t>
  </si>
  <si>
    <t>裂荚仙人掌</t>
  </si>
  <si>
    <t>总共8</t>
  </si>
  <si>
    <t>平摊总阳光</t>
  </si>
  <si>
    <t>阳光损耗Y</t>
  </si>
  <si>
    <t>Y .adj</t>
  </si>
  <si>
    <t>第二次尝试</t>
  </si>
  <si>
    <t>南瓜+裂荚+仙人掌</t>
  </si>
  <si>
    <t>喷损</t>
  </si>
  <si>
    <t>Y.adj</t>
  </si>
  <si>
    <t>第一次</t>
  </si>
  <si>
    <t>第二次</t>
  </si>
  <si>
    <t>总平摊损耗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</si>
</sst>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3"/>
  <sheetViews>
    <sheetView tabSelected="1" topLeftCell="A47" workbookViewId="0">
      <selection activeCell="H56" sqref="H56"/>
    </sheetView>
  </sheetViews>
  <sheetFormatPr defaultColWidth="9" defaultRowHeight="14.25"/>
  <cols>
    <col min="1" max="1" width="17.9166666666667" customWidth="1"/>
    <col min="2" max="37" width="9.58333333333333" customWidth="1"/>
  </cols>
  <sheetData>
    <row r="1" spans="1:3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>
      <c r="A2" t="s">
        <v>16</v>
      </c>
    </row>
    <row r="3" spans="1:33">
      <c r="A3" t="s">
        <v>17</v>
      </c>
      <c r="H3">
        <v>1</v>
      </c>
      <c r="N3">
        <v>1</v>
      </c>
      <c r="X3">
        <v>1</v>
      </c>
      <c r="AA3">
        <v>1</v>
      </c>
    </row>
    <row r="4" spans="1:33">
      <c r="A4" t="s">
        <v>18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>
      <c r="A5" t="s">
        <v>19</v>
      </c>
      <c r="B5">
        <v>8000</v>
      </c>
    </row>
    <row r="6" spans="1:33">
      <c r="A6" t="s">
        <v>20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>
      <c r="A7" t="s">
        <v>21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>
      <c r="A8" t="s">
        <v>22</v>
      </c>
      <c r="H8">
        <v>1</v>
      </c>
      <c r="O8">
        <v>1</v>
      </c>
      <c r="AA8">
        <v>1</v>
      </c>
    </row>
    <row r="9" spans="1:33">
      <c r="A9" t="s">
        <v>23</v>
      </c>
      <c r="B9">
        <f>964+1684+1712+1020+2240+3192</f>
        <v>10812</v>
      </c>
      <c r="C9" t="s">
        <v>24</v>
      </c>
      <c r="D9">
        <f>2860+3904+2020+4000+4000+4000</f>
        <v>20784</v>
      </c>
      <c r="E9" t="s">
        <v>25</v>
      </c>
      <c r="F9">
        <f>D9-B9</f>
        <v>9972</v>
      </c>
      <c r="G9" t="s">
        <v>26</v>
      </c>
      <c r="H9">
        <f>F9/4000*125</f>
        <v>311.625</v>
      </c>
      <c r="R9" t="s">
        <v>27</v>
      </c>
      <c r="Y9" t="s">
        <v>28</v>
      </c>
      <c r="AD9" t="s">
        <v>29</v>
      </c>
      <c r="AF9" t="s">
        <v>30</v>
      </c>
    </row>
    <row r="10" spans="1:3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</v>
      </c>
      <c r="H10" t="s">
        <v>35</v>
      </c>
      <c r="I10" t="s">
        <v>36</v>
      </c>
    </row>
    <row r="11" spans="1:33">
      <c r="A11" t="s">
        <v>37</v>
      </c>
      <c r="B11">
        <f>H9+F10+(B10+8)*125+75</f>
        <v>3845.95833333333</v>
      </c>
    </row>
    <row r="13" spans="1:3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>
      <c r="F16" s="1" t="s">
        <v>40</v>
      </c>
      <c r="G16" s="1"/>
      <c r="H16" s="1"/>
      <c r="I16" s="1"/>
      <c r="J16" s="1"/>
      <c r="K16" s="1"/>
      <c r="L16" s="1"/>
      <c r="M16" s="1"/>
      <c r="N16" s="1"/>
      <c r="O16" s="1"/>
    </row>
    <row r="17" spans="1:3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>
      <c r="A18" t="s">
        <v>17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>
      <c r="A19" t="s">
        <v>18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>
      <c r="A20" t="s">
        <v>20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>
      <c r="A21" t="s">
        <v>21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>
      <c r="A22" t="s">
        <v>23</v>
      </c>
      <c r="B22">
        <f>3196+2544+2496+2700+2356+3448</f>
        <v>16740</v>
      </c>
      <c r="C22" t="s">
        <v>24</v>
      </c>
      <c r="D22">
        <v>28000</v>
      </c>
      <c r="E22" t="s">
        <v>25</v>
      </c>
      <c r="F22">
        <f>D22-B22</f>
        <v>11260</v>
      </c>
      <c r="G22" t="s">
        <v>26</v>
      </c>
      <c r="H22">
        <f>F22/4000*125</f>
        <v>351.875</v>
      </c>
    </row>
    <row r="23" spans="1:3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</v>
      </c>
      <c r="G23" t="s">
        <v>42</v>
      </c>
      <c r="H23">
        <v>192</v>
      </c>
    </row>
    <row r="24" spans="1:33">
      <c r="A24" t="s">
        <v>37</v>
      </c>
      <c r="B24">
        <f>H22+F23+B23*125+75*H23/300</f>
        <v>3685.875</v>
      </c>
    </row>
    <row r="26" spans="1:33">
      <c r="A26" t="s">
        <v>38</v>
      </c>
      <c r="B26">
        <f>5000-B20</f>
        <v>225</v>
      </c>
      <c r="C26">
        <f>B20-C20</f>
        <v>25</v>
      </c>
      <c r="D26">
        <f t="shared" ref="D26" si="2">C20-D20</f>
        <v>650</v>
      </c>
      <c r="E26">
        <f t="shared" ref="E26" si="3">D20-E20</f>
        <v>-25</v>
      </c>
      <c r="F26">
        <f t="shared" ref="F26" si="4">E20-F20</f>
        <v>-700</v>
      </c>
      <c r="G26">
        <f t="shared" ref="G26" si="5">F20-G20</f>
        <v>-500</v>
      </c>
      <c r="H26">
        <f t="shared" ref="H26" si="6">G20-H20</f>
        <v>-725</v>
      </c>
      <c r="I26">
        <f t="shared" ref="I26" si="7">H20-I20</f>
        <v>-225</v>
      </c>
      <c r="J26">
        <f t="shared" ref="J26" si="8">I20-J20</f>
        <v>225</v>
      </c>
      <c r="K26">
        <f t="shared" ref="K26" si="9">J20-K20</f>
        <v>500</v>
      </c>
      <c r="L26">
        <f t="shared" ref="L26" si="10">K20-L20</f>
        <v>-750</v>
      </c>
      <c r="M26">
        <f t="shared" ref="M26" si="11">L20-M20</f>
        <v>-225</v>
      </c>
      <c r="N26">
        <f t="shared" ref="N26" si="12">M20-N20</f>
        <v>-730</v>
      </c>
      <c r="O26">
        <f t="shared" ref="O26" si="13">N20-O20</f>
        <v>-270</v>
      </c>
      <c r="P26">
        <f t="shared" ref="P26" si="14">O20-P20</f>
        <v>-425</v>
      </c>
      <c r="Q26">
        <f t="shared" ref="Q26" si="15">P20-Q20</f>
        <v>125</v>
      </c>
      <c r="R26">
        <f t="shared" ref="R26" si="16">Q20-R20</f>
        <v>-200</v>
      </c>
      <c r="S26">
        <f t="shared" ref="S26" si="17">R20-S20</f>
        <v>-525</v>
      </c>
      <c r="T26">
        <f t="shared" ref="T26" si="18">S20-T20</f>
        <v>650</v>
      </c>
      <c r="U26">
        <f t="shared" ref="U26" si="19">T20-U20</f>
        <v>-375</v>
      </c>
      <c r="V26">
        <f t="shared" ref="V26" si="20">U20-V20</f>
        <v>-100</v>
      </c>
      <c r="W26">
        <f t="shared" ref="W26" si="21">V20-W20</f>
        <v>825</v>
      </c>
      <c r="X26">
        <f t="shared" ref="X26" si="22">W20-X20</f>
        <v>-500</v>
      </c>
      <c r="Y26">
        <f t="shared" ref="Y26" si="23">X20-Y20</f>
        <v>-300</v>
      </c>
      <c r="Z26">
        <f t="shared" ref="Z26" si="24">Y20-Z20</f>
        <v>875</v>
      </c>
      <c r="AA26">
        <f t="shared" ref="AA26" si="25">Z20-AA20</f>
        <v>-550</v>
      </c>
      <c r="AB26">
        <f t="shared" ref="AB26" si="26">AA20-AB20</f>
        <v>-850</v>
      </c>
      <c r="AC26">
        <f t="shared" ref="AC26" si="27">AB20-AC20</f>
        <v>275</v>
      </c>
      <c r="AD26">
        <f t="shared" ref="AD26" si="28">AC20-AD20</f>
        <v>-475</v>
      </c>
      <c r="AE26">
        <f t="shared" ref="AE26" si="29">AD20-AE20</f>
        <v>400</v>
      </c>
      <c r="AF26">
        <f t="shared" ref="AF26" si="30">AE20-AF20</f>
        <v>-175</v>
      </c>
      <c r="AG26">
        <f t="shared" ref="AG26" si="31">AF20-AG20</f>
        <v>575</v>
      </c>
    </row>
    <row r="27" spans="1:33">
      <c r="A27" t="s">
        <v>39</v>
      </c>
      <c r="B27">
        <f>B26-125*(B19+B18)+(1-B21)*75</f>
        <v>175</v>
      </c>
      <c r="C27">
        <f t="shared" ref="C27:AG27" si="32">C26-125*(C19+C18)+(1-C21)*75</f>
        <v>-175</v>
      </c>
      <c r="D27">
        <f t="shared" si="32"/>
        <v>725</v>
      </c>
      <c r="E27">
        <f t="shared" si="32"/>
        <v>-100</v>
      </c>
      <c r="F27">
        <f t="shared" si="32"/>
        <v>-825</v>
      </c>
      <c r="G27">
        <f t="shared" si="32"/>
        <v>-625</v>
      </c>
      <c r="H27">
        <f t="shared" si="32"/>
        <v>-850</v>
      </c>
      <c r="I27">
        <f t="shared" si="32"/>
        <v>-275</v>
      </c>
      <c r="J27">
        <f t="shared" si="32"/>
        <v>-100</v>
      </c>
      <c r="K27">
        <f t="shared" si="32"/>
        <v>250</v>
      </c>
      <c r="L27">
        <f t="shared" si="32"/>
        <v>-875</v>
      </c>
      <c r="M27">
        <f t="shared" si="32"/>
        <v>-350</v>
      </c>
      <c r="N27">
        <f t="shared" si="32"/>
        <v>-855</v>
      </c>
      <c r="O27">
        <f t="shared" si="32"/>
        <v>-445</v>
      </c>
      <c r="P27">
        <f t="shared" si="32"/>
        <v>-625</v>
      </c>
      <c r="Q27">
        <f t="shared" si="32"/>
        <v>75</v>
      </c>
      <c r="R27">
        <f t="shared" si="32"/>
        <v>-275</v>
      </c>
      <c r="S27">
        <f t="shared" si="32"/>
        <v>-575</v>
      </c>
      <c r="T27">
        <f t="shared" si="32"/>
        <v>575</v>
      </c>
      <c r="U27">
        <f t="shared" si="32"/>
        <v>-625</v>
      </c>
      <c r="V27">
        <f t="shared" si="32"/>
        <v>-25</v>
      </c>
      <c r="W27">
        <f t="shared" si="32"/>
        <v>750</v>
      </c>
      <c r="X27">
        <f t="shared" si="32"/>
        <v>-625</v>
      </c>
      <c r="Y27">
        <f t="shared" si="32"/>
        <v>-225</v>
      </c>
      <c r="Z27">
        <f t="shared" si="32"/>
        <v>800</v>
      </c>
      <c r="AA27">
        <f t="shared" si="32"/>
        <v>-675</v>
      </c>
      <c r="AB27">
        <f t="shared" si="32"/>
        <v>-850</v>
      </c>
      <c r="AC27">
        <f t="shared" si="32"/>
        <v>275</v>
      </c>
      <c r="AD27">
        <f t="shared" si="32"/>
        <v>-400</v>
      </c>
      <c r="AE27">
        <f t="shared" si="32"/>
        <v>75</v>
      </c>
      <c r="AF27">
        <f t="shared" si="32"/>
        <v>-175</v>
      </c>
      <c r="AG27">
        <f t="shared" si="32"/>
        <v>650</v>
      </c>
    </row>
    <row r="30" spans="1:33">
      <c r="A30" t="s">
        <v>43</v>
      </c>
      <c r="B30" t="s">
        <v>44</v>
      </c>
      <c r="D30" t="s">
        <v>45</v>
      </c>
    </row>
    <row r="31" spans="1:3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  <c r="F31">
        <f>-D31</f>
        <v>-175</v>
      </c>
    </row>
    <row r="32" spans="1:33">
      <c r="A32" t="str">
        <v>2002-2004</v>
      </c>
      <c r="B32">
        <v>-225</v>
      </c>
      <c r="D32">
        <v>-175</v>
      </c>
      <c r="F32">
        <f t="shared" ref="F32:F62" si="33">-D32</f>
        <v>175</v>
      </c>
    </row>
    <row r="33" spans="1:6">
      <c r="A33" t="str">
        <v>2004-2006</v>
      </c>
      <c r="B33">
        <v>550</v>
      </c>
      <c r="D33">
        <v>725</v>
      </c>
      <c r="F33">
        <f t="shared" si="33"/>
        <v>-725</v>
      </c>
    </row>
    <row r="34" spans="1:6">
      <c r="A34" t="str">
        <v>2006-2008</v>
      </c>
      <c r="B34">
        <v>100</v>
      </c>
      <c r="D34">
        <v>-100</v>
      </c>
      <c r="F34">
        <f t="shared" si="33"/>
        <v>100</v>
      </c>
    </row>
    <row r="35" spans="1:6">
      <c r="A35" t="str">
        <v>2008-2010</v>
      </c>
      <c r="B35">
        <v>-1025</v>
      </c>
      <c r="D35">
        <v>-825</v>
      </c>
      <c r="F35">
        <f t="shared" si="33"/>
        <v>825</v>
      </c>
    </row>
    <row r="36" spans="1:6">
      <c r="A36" t="str">
        <v>2010-2012</v>
      </c>
      <c r="B36">
        <v>-550</v>
      </c>
      <c r="D36">
        <v>-625</v>
      </c>
      <c r="F36">
        <f t="shared" si="33"/>
        <v>625</v>
      </c>
    </row>
    <row r="37" spans="1:6">
      <c r="A37" t="str">
        <v>2012-2014</v>
      </c>
      <c r="B37">
        <v>-875</v>
      </c>
      <c r="D37">
        <v>-850</v>
      </c>
      <c r="F37">
        <f t="shared" si="33"/>
        <v>850</v>
      </c>
    </row>
    <row r="38" spans="1:6">
      <c r="A38" t="str">
        <v>2014-2016</v>
      </c>
      <c r="B38">
        <v>-375</v>
      </c>
      <c r="D38">
        <v>-275</v>
      </c>
      <c r="F38">
        <f t="shared" si="33"/>
        <v>275</v>
      </c>
    </row>
    <row r="39" spans="1:6">
      <c r="A39" t="str">
        <v>2016-2018</v>
      </c>
      <c r="B39">
        <v>-225</v>
      </c>
      <c r="D39">
        <v>-100</v>
      </c>
      <c r="F39">
        <f t="shared" si="33"/>
        <v>100</v>
      </c>
    </row>
    <row r="40" spans="1:6">
      <c r="A40" t="str">
        <v>2018-2020</v>
      </c>
      <c r="B40">
        <v>575</v>
      </c>
      <c r="D40">
        <v>250</v>
      </c>
      <c r="F40">
        <f t="shared" si="33"/>
        <v>-250</v>
      </c>
    </row>
    <row r="41" spans="1:6">
      <c r="A41" t="str">
        <v>2020-2022</v>
      </c>
      <c r="B41">
        <v>-950</v>
      </c>
      <c r="D41">
        <v>-875</v>
      </c>
      <c r="F41">
        <f t="shared" si="33"/>
        <v>875</v>
      </c>
    </row>
    <row r="42" spans="1:6">
      <c r="A42" t="str">
        <v>2022-2024</v>
      </c>
      <c r="B42">
        <v>-375</v>
      </c>
      <c r="D42">
        <v>-350</v>
      </c>
      <c r="F42">
        <f t="shared" si="33"/>
        <v>350</v>
      </c>
    </row>
    <row r="43" spans="1:6">
      <c r="A43" t="str">
        <v>2024-2026</v>
      </c>
      <c r="B43">
        <v>-750</v>
      </c>
      <c r="D43">
        <v>-855</v>
      </c>
      <c r="F43">
        <f t="shared" si="33"/>
        <v>855</v>
      </c>
    </row>
    <row r="44" spans="1:6">
      <c r="A44" t="str">
        <v>2026-2028</v>
      </c>
      <c r="B44">
        <v>-275</v>
      </c>
      <c r="D44">
        <v>-445</v>
      </c>
      <c r="F44">
        <f t="shared" si="33"/>
        <v>445</v>
      </c>
    </row>
    <row r="45" spans="1:6">
      <c r="A45" t="str">
        <v>2028-2030</v>
      </c>
      <c r="B45">
        <v>-425</v>
      </c>
      <c r="D45">
        <v>-625</v>
      </c>
      <c r="F45">
        <f t="shared" si="33"/>
        <v>625</v>
      </c>
    </row>
    <row r="46" spans="1:6">
      <c r="A46" t="str">
        <v>2030-2032</v>
      </c>
      <c r="B46">
        <v>-375</v>
      </c>
      <c r="D46">
        <v>75</v>
      </c>
      <c r="F46">
        <f t="shared" si="33"/>
        <v>-75</v>
      </c>
    </row>
    <row r="47" spans="1:6">
      <c r="A47" t="str">
        <v>2000-2002</v>
      </c>
      <c r="B47">
        <v>-75</v>
      </c>
      <c r="D47">
        <v>-275</v>
      </c>
      <c r="F47">
        <f t="shared" si="33"/>
        <v>275</v>
      </c>
    </row>
    <row r="48" spans="1:6">
      <c r="A48" t="str">
        <v>2002-2004</v>
      </c>
      <c r="B48">
        <v>-250</v>
      </c>
      <c r="D48">
        <v>-575</v>
      </c>
      <c r="F48">
        <f t="shared" si="33"/>
        <v>575</v>
      </c>
    </row>
    <row r="49" spans="1:6">
      <c r="A49" t="str">
        <v>2004-2006</v>
      </c>
      <c r="B49">
        <v>375</v>
      </c>
      <c r="D49">
        <v>575</v>
      </c>
      <c r="F49">
        <f t="shared" si="33"/>
        <v>-575</v>
      </c>
    </row>
    <row r="50" spans="1:6">
      <c r="A50" t="str">
        <v>2006-2008</v>
      </c>
      <c r="B50">
        <v>-450</v>
      </c>
      <c r="D50">
        <v>-625</v>
      </c>
      <c r="F50">
        <f t="shared" si="33"/>
        <v>625</v>
      </c>
    </row>
    <row r="51" spans="1:6">
      <c r="A51" t="str">
        <v>2008-2010</v>
      </c>
      <c r="B51">
        <v>-125</v>
      </c>
      <c r="D51">
        <v>-25</v>
      </c>
      <c r="F51">
        <f t="shared" si="33"/>
        <v>25</v>
      </c>
    </row>
    <row r="52" spans="1:6">
      <c r="A52" t="str">
        <v>2010-2012</v>
      </c>
      <c r="B52">
        <v>625</v>
      </c>
      <c r="D52">
        <v>750</v>
      </c>
      <c r="F52">
        <f t="shared" si="33"/>
        <v>-750</v>
      </c>
    </row>
    <row r="53" spans="1:6">
      <c r="A53" t="str">
        <v>2012-2014</v>
      </c>
      <c r="B53">
        <v>-450</v>
      </c>
      <c r="D53">
        <v>-625</v>
      </c>
      <c r="F53">
        <f t="shared" si="33"/>
        <v>625</v>
      </c>
    </row>
    <row r="54" spans="1:6">
      <c r="A54" t="str">
        <v>2000-2002</v>
      </c>
      <c r="B54">
        <v>-175</v>
      </c>
      <c r="D54">
        <v>-225</v>
      </c>
      <c r="F54">
        <f t="shared" si="33"/>
        <v>225</v>
      </c>
    </row>
    <row r="55" spans="1:6">
      <c r="A55" t="str">
        <v>2002-2004</v>
      </c>
      <c r="B55">
        <v>600</v>
      </c>
      <c r="D55">
        <v>800</v>
      </c>
      <c r="F55">
        <f t="shared" si="33"/>
        <v>-800</v>
      </c>
    </row>
    <row r="56" spans="1:6">
      <c r="A56" t="str">
        <v>2004-2006</v>
      </c>
      <c r="B56">
        <v>-775</v>
      </c>
      <c r="D56">
        <v>-675</v>
      </c>
      <c r="F56">
        <f t="shared" si="33"/>
        <v>675</v>
      </c>
    </row>
    <row r="57" spans="1:6">
      <c r="A57" t="str">
        <v>2006-2008</v>
      </c>
      <c r="B57">
        <v>-900</v>
      </c>
      <c r="D57">
        <v>-850</v>
      </c>
      <c r="F57">
        <f t="shared" si="33"/>
        <v>850</v>
      </c>
    </row>
    <row r="58" spans="1:6">
      <c r="A58" t="str">
        <v>2008-2010</v>
      </c>
      <c r="B58">
        <v>500</v>
      </c>
      <c r="D58">
        <v>275</v>
      </c>
      <c r="F58">
        <f t="shared" si="33"/>
        <v>-275</v>
      </c>
    </row>
    <row r="59" spans="1:6">
      <c r="A59" t="str">
        <v>2000-2002</v>
      </c>
      <c r="B59">
        <v>-275</v>
      </c>
      <c r="D59">
        <v>-400</v>
      </c>
      <c r="F59">
        <f t="shared" si="33"/>
        <v>400</v>
      </c>
    </row>
    <row r="60" spans="1:6">
      <c r="A60" t="str">
        <v>2002-2004</v>
      </c>
      <c r="B60">
        <v>250</v>
      </c>
      <c r="D60">
        <v>75</v>
      </c>
      <c r="F60">
        <f t="shared" si="33"/>
        <v>-75</v>
      </c>
    </row>
    <row r="61" spans="1:6">
      <c r="A61" t="str">
        <v>2000-2002</v>
      </c>
      <c r="B61">
        <v>-25</v>
      </c>
      <c r="D61">
        <v>-175</v>
      </c>
      <c r="F61">
        <f t="shared" si="33"/>
        <v>175</v>
      </c>
    </row>
    <row r="62" spans="1:6">
      <c r="A62" t="str">
        <v>2002-2004</v>
      </c>
      <c r="B62">
        <v>775</v>
      </c>
      <c r="D62">
        <v>650</v>
      </c>
      <c r="F62">
        <f t="shared" si="33"/>
        <v>-650</v>
      </c>
    </row>
    <row r="63" spans="1:6">
      <c r="A63" t="s">
        <v>46</v>
      </c>
      <c r="B63">
        <f>B11</f>
        <v>3845.95833333333</v>
      </c>
      <c r="D63">
        <f>B24</f>
        <v>3685.875</v>
      </c>
    </row>
  </sheetData>
  <mergeCells count="1">
    <mergeCell ref="F16:O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Administrator</cp:lastModifiedBy>
  <dcterms:created xsi:type="dcterms:W3CDTF">2015-06-05T18:19:00Z</dcterms:created>
  <dcterms:modified xsi:type="dcterms:W3CDTF">2026-01-26T15:12:49Z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D2095F4CDBAB473A9E01AF1BBE4320C5_12</vt:lpwstr>
  </property>
  <property fmtid="{D5CDD505-2E9C-101B-9397-08002B2CF9AE}" pid="3" name="KSOProductBuildVer">
    <vt:lpwstr>2052-12.1.0.23542</vt:lpwstr>
  </property>
</Properties>
</file>