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165" windowHeight="7710" activeTab="3"/>
  </bookViews>
  <sheets>
    <sheet name="汇总" sheetId="4" r:id="rId1"/>
    <sheet name="记录备注" sheetId="11" r:id="rId2"/>
    <sheet name="额外阳光消耗" sheetId="6" r:id="rId3"/>
    <sheet name="模型参数" sheetId="5" r:id="rId4"/>
    <sheet name="折线对比" sheetId="7" r:id="rId5"/>
    <sheet name="截图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<sst xmlns="http://schemas.openxmlformats.org/spreadsheetml/2006/main" count="211" uniqueCount="72">
  <si>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</si>
  <si>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</si>
  <si>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</si>
  <si>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</si>
  <si>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</si>
  <si>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</si>
  <si>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</si>
  <si>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</si>
  <si>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</si>
  <si>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</si>
  <si>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</si>
  <si>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</si>
  <si>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</si>
  <si>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</si>
  <si>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</si>
  <si>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</si>
  <si>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</si>
  <si>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</si>
  <si>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</si>
  <si>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</si>
  <si>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</si>
  <si>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</si>
  <si>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</si>
  <si>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</si>
  <si>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</si>
  <si>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</si>
  <si>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</si>
  <si>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</si>
  <si>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</si>
  <si>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</si>
  <si>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</si>
  <si>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</si>
  <si>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</si>
  <si>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</si>
  <si>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</si>
  <si>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</si>
  <si>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</si>
  <si>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</si>
  <si>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阳光变化</t>
  </si>
  <si>
    <t>2000f</t>
  </si>
  <si>
    <t>个数</t>
  </si>
  <si>
    <t>等价阳光</t>
  </si>
  <si>
    <t>曾损</t>
  </si>
  <si>
    <t>底线补</t>
  </si>
  <si>
    <t>底线南瓜</t>
  </si>
  <si>
    <t>底线总南瓜</t>
  </si>
  <si>
    <t>前场补</t>
  </si>
  <si>
    <t>前场南瓜</t>
  </si>
  <si>
    <t>前场总南瓜</t>
  </si>
  <si>
    <t>其他损</t>
  </si>
  <si>
    <t>矿工样本比例</t>
  </si>
  <si>
    <t>矿工理论比例</t>
  </si>
  <si>
    <t>底线理论总南瓜</t>
  </si>
  <si>
    <t>总等价阳光</t>
  </si>
  <si>
    <t>均摊阳光</t>
  </si>
  <si>
    <t>场上等价阳光</t>
  </si>
  <si>
    <t>期望贡献</t>
  </si>
  <si>
    <t>Intercept</t>
  </si>
  <si>
    <t>密度</t>
  </si>
  <si>
    <t>红眼:橄榄</t>
  </si>
  <si>
    <t>橄榄:密度</t>
  </si>
  <si>
    <t>p2</t>
  </si>
  <si>
    <t>p1</t>
  </si>
  <si>
    <t>p0</t>
  </si>
  <si>
    <t>p+</t>
  </si>
  <si>
    <t>p-</t>
  </si>
  <si>
    <t>p 高密度</t>
  </si>
  <si>
    <t>p 红：高</t>
  </si>
  <si>
    <t>TRUE dlt</t>
  </si>
  <si>
    <t>pred dlt</t>
  </si>
  <si>
    <t>pred</t>
  </si>
  <si>
    <t>列1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</si>
</sst>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0" applyNumberFormat="0" applyAlignment="0" applyProtection="0">
      <alignment vertical="center"/>
    </xf>
    <xf numFmtId="0" fontId="12" fillId="5" borderId="21" applyNumberFormat="0" applyAlignment="0" applyProtection="0">
      <alignment vertical="center"/>
    </xf>
    <xf numFmtId="0" fontId="13" fillId="5" borderId="20" applyNumberFormat="0" applyAlignment="0" applyProtection="0">
      <alignment vertical="center"/>
    </xf>
    <xf numFmtId="0" fontId="14" fillId="6" borderId="22" applyNumberFormat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77" fontId="0" fillId="0" borderId="0" xfId="0" applyNumberFormat="1" applyAlignment="1">
      <alignment vertical="center" wrapText="1"/>
    </xf>
    <xf numFmtId="177" fontId="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 wrapText="1"/>
    </xf>
    <xf numFmtId="176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176" fontId="0" fillId="2" borderId="0" xfId="0" applyNumberFormat="1" applyFill="1">
      <alignment vertical="center"/>
    </xf>
    <xf numFmtId="0" fontId="0" fillId="0" borderId="0" xfId="0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Fill="1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折线对比!$C$2:$C$34</c:f>
              <c:numCache>
                <c:formatCode>General</c:formatCode>
                <c:ptCount val="33"/>
                <c:pt idx="0">
                  <c:v>8000</c:v>
                </c:pt>
                <c:pt idx="1">
                  <c:v>7716.86</c:v>
                </c:pt>
                <c:pt idx="2">
                  <c:v>7783.72</c:v>
                </c:pt>
                <c:pt idx="3">
                  <c:v>6950.58</c:v>
                </c:pt>
                <c:pt idx="4">
                  <c:v>6942.44</c:v>
                </c:pt>
                <c:pt idx="5">
                  <c:v>7659.3</c:v>
                </c:pt>
                <c:pt idx="6">
                  <c:v>8176.16</c:v>
                </c:pt>
                <c:pt idx="7">
                  <c:v>8918.02</c:v>
                </c:pt>
                <c:pt idx="8">
                  <c:v>9084.88</c:v>
                </c:pt>
                <c:pt idx="9">
                  <c:v>9076.74</c:v>
                </c:pt>
                <c:pt idx="10">
                  <c:v>8718.6</c:v>
                </c:pt>
                <c:pt idx="11">
                  <c:v>9485.46</c:v>
                </c:pt>
                <c:pt idx="12">
                  <c:v>9727.32</c:v>
                </c:pt>
                <c:pt idx="13">
                  <c:v>10474.18</c:v>
                </c:pt>
                <c:pt idx="14">
                  <c:v>10811.04</c:v>
                </c:pt>
                <c:pt idx="15">
                  <c:v>11327.9</c:v>
                </c:pt>
                <c:pt idx="16">
                  <c:v>11144.76</c:v>
                </c:pt>
                <c:pt idx="17">
                  <c:v>11311.62</c:v>
                </c:pt>
                <c:pt idx="18">
                  <c:v>11778.48</c:v>
                </c:pt>
                <c:pt idx="19">
                  <c:v>11095.34</c:v>
                </c:pt>
                <c:pt idx="20">
                  <c:v>11612.2</c:v>
                </c:pt>
                <c:pt idx="21">
                  <c:v>11529.06</c:v>
                </c:pt>
                <c:pt idx="22">
                  <c:v>10670.92</c:v>
                </c:pt>
                <c:pt idx="23">
                  <c:v>11187.78</c:v>
                </c:pt>
                <c:pt idx="24">
                  <c:v>11304.64</c:v>
                </c:pt>
                <c:pt idx="25">
                  <c:v>10396.5</c:v>
                </c:pt>
                <c:pt idx="26">
                  <c:v>10963.36</c:v>
                </c:pt>
                <c:pt idx="27">
                  <c:v>11705.22</c:v>
                </c:pt>
                <c:pt idx="28">
                  <c:v>11322.08</c:v>
                </c:pt>
                <c:pt idx="29">
                  <c:v>11613.94</c:v>
                </c:pt>
                <c:pt idx="30">
                  <c:v>11430.8</c:v>
                </c:pt>
                <c:pt idx="31">
                  <c:v>11497.66</c:v>
                </c:pt>
                <c:pt idx="32">
                  <c:v>10739.52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折线对比!$E$1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折线对比!$E$2:$E$34</c:f>
              <c:numCache>
                <c:formatCode>General</c:formatCode>
                <c:ptCount val="33"/>
                <c:pt idx="0">
                  <c:v>8000</c:v>
                </c:pt>
                <c:pt idx="1">
                  <c:v>7540.435</c:v>
                </c:pt>
                <c:pt idx="2">
                  <c:v>7684.62</c:v>
                </c:pt>
                <c:pt idx="3">
                  <c:v>7053.805</c:v>
                </c:pt>
                <c:pt idx="4">
                  <c:v>6997.99</c:v>
                </c:pt>
                <c:pt idx="5">
                  <c:v>7807.8</c:v>
                </c:pt>
                <c:pt idx="6">
                  <c:v>8223.235</c:v>
                </c:pt>
                <c:pt idx="7">
                  <c:v>8861.795</c:v>
                </c:pt>
                <c:pt idx="8">
                  <c:v>8905.355</c:v>
                </c:pt>
                <c:pt idx="9">
                  <c:v>9149.54</c:v>
                </c:pt>
                <c:pt idx="10">
                  <c:v>8618.725</c:v>
                </c:pt>
                <c:pt idx="11">
                  <c:v>9384.785</c:v>
                </c:pt>
                <c:pt idx="12">
                  <c:v>9484.595</c:v>
                </c:pt>
                <c:pt idx="13">
                  <c:v>10023.155</c:v>
                </c:pt>
                <c:pt idx="14">
                  <c:v>10237.965</c:v>
                </c:pt>
                <c:pt idx="15">
                  <c:v>10947.775</c:v>
                </c:pt>
                <c:pt idx="16">
                  <c:v>11091.335</c:v>
                </c:pt>
                <c:pt idx="17">
                  <c:v>11106.77</c:v>
                </c:pt>
                <c:pt idx="18">
                  <c:v>11421.58</c:v>
                </c:pt>
                <c:pt idx="19">
                  <c:v>10762.015</c:v>
                </c:pt>
                <c:pt idx="20">
                  <c:v>11428.075</c:v>
                </c:pt>
                <c:pt idx="21">
                  <c:v>11427.885</c:v>
                </c:pt>
                <c:pt idx="22">
                  <c:v>10497.07</c:v>
                </c:pt>
                <c:pt idx="23">
                  <c:v>10812.505</c:v>
                </c:pt>
                <c:pt idx="24">
                  <c:v>10983.565</c:v>
                </c:pt>
                <c:pt idx="25">
                  <c:v>10224</c:v>
                </c:pt>
                <c:pt idx="26">
                  <c:v>10718.81</c:v>
                </c:pt>
                <c:pt idx="27">
                  <c:v>11313.62</c:v>
                </c:pt>
                <c:pt idx="28">
                  <c:v>10954.055</c:v>
                </c:pt>
                <c:pt idx="29">
                  <c:v>11225.115</c:v>
                </c:pt>
                <c:pt idx="30">
                  <c:v>11069.3</c:v>
                </c:pt>
                <c:pt idx="31">
                  <c:v>11184.735</c:v>
                </c:pt>
                <c:pt idx="32">
                  <c:v>10353.92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in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32efad-23a0-4662-97ad-08cd5a7295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折线对比!$B$1</c:f>
              <c:strCache>
                <c:ptCount val="1"/>
                <c:pt idx="0">
                  <c:v>TRUE dlt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折线对比!$B$3:$B$34</c:f>
              <c:numCache>
                <c:formatCode>General</c:formatCode>
                <c:ptCount val="32"/>
                <c:pt idx="0">
                  <c:v>-175</c:v>
                </c:pt>
                <c:pt idx="1">
                  <c:v>175</c:v>
                </c:pt>
                <c:pt idx="2">
                  <c:v>-725</c:v>
                </c:pt>
                <c:pt idx="3">
                  <c:v>100</c:v>
                </c:pt>
                <c:pt idx="4">
                  <c:v>825</c:v>
                </c:pt>
                <c:pt idx="5">
                  <c:v>625</c:v>
                </c:pt>
                <c:pt idx="6">
                  <c:v>850</c:v>
                </c:pt>
                <c:pt idx="7">
                  <c:v>275</c:v>
                </c:pt>
                <c:pt idx="8">
                  <c:v>100</c:v>
                </c:pt>
                <c:pt idx="9">
                  <c:v>-250</c:v>
                </c:pt>
                <c:pt idx="10">
                  <c:v>875</c:v>
                </c:pt>
                <c:pt idx="11">
                  <c:v>350</c:v>
                </c:pt>
                <c:pt idx="12">
                  <c:v>855</c:v>
                </c:pt>
                <c:pt idx="13">
                  <c:v>445</c:v>
                </c:pt>
                <c:pt idx="14">
                  <c:v>625</c:v>
                </c:pt>
                <c:pt idx="15">
                  <c:v>-75</c:v>
                </c:pt>
                <c:pt idx="16">
                  <c:v>275</c:v>
                </c:pt>
                <c:pt idx="17">
                  <c:v>575</c:v>
                </c:pt>
                <c:pt idx="18">
                  <c:v>-575</c:v>
                </c:pt>
                <c:pt idx="19">
                  <c:v>625</c:v>
                </c:pt>
                <c:pt idx="20">
                  <c:v>25</c:v>
                </c:pt>
                <c:pt idx="21">
                  <c:v>-750</c:v>
                </c:pt>
                <c:pt idx="22">
                  <c:v>625</c:v>
                </c:pt>
                <c:pt idx="23">
                  <c:v>225</c:v>
                </c:pt>
                <c:pt idx="24">
                  <c:v>-800</c:v>
                </c:pt>
                <c:pt idx="25">
                  <c:v>675</c:v>
                </c:pt>
                <c:pt idx="26">
                  <c:v>850</c:v>
                </c:pt>
                <c:pt idx="27">
                  <c:v>-275</c:v>
                </c:pt>
                <c:pt idx="28">
                  <c:v>400</c:v>
                </c:pt>
                <c:pt idx="29">
                  <c:v>-75</c:v>
                </c:pt>
                <c:pt idx="30">
                  <c:v>175</c:v>
                </c:pt>
                <c:pt idx="31">
                  <c:v>-650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 dlt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折线对比!$D$3:$D$34</c:f>
              <c:numCache>
                <c:formatCode>0.00_ </c:formatCode>
                <c:ptCount val="32"/>
                <c:pt idx="0">
                  <c:v>-339.374999999999</c:v>
                </c:pt>
                <c:pt idx="1" c:formatCode="General">
                  <c:v>264.375</c:v>
                </c:pt>
                <c:pt idx="2">
                  <c:v>-510.624999999999</c:v>
                </c:pt>
                <c:pt idx="3" c:formatCode="General">
                  <c:v>64.3749999999999</c:v>
                </c:pt>
                <c:pt idx="4" c:formatCode="General">
                  <c:v>929.999999999999</c:v>
                </c:pt>
                <c:pt idx="5">
                  <c:v>535.625</c:v>
                </c:pt>
                <c:pt idx="6">
                  <c:v>758.75</c:v>
                </c:pt>
                <c:pt idx="7" c:formatCode="General">
                  <c:v>163.75</c:v>
                </c:pt>
                <c:pt idx="8" c:formatCode="General">
                  <c:v>364.375</c:v>
                </c:pt>
                <c:pt idx="9">
                  <c:v>-410.624999999999</c:v>
                </c:pt>
                <c:pt idx="10" c:formatCode="General">
                  <c:v>886.249999999999</c:v>
                </c:pt>
                <c:pt idx="11" c:formatCode="General">
                  <c:v>220</c:v>
                </c:pt>
                <c:pt idx="12" c:formatCode="General">
                  <c:v>658.75</c:v>
                </c:pt>
                <c:pt idx="13" c:formatCode="General">
                  <c:v>335</c:v>
                </c:pt>
                <c:pt idx="14">
                  <c:v>830</c:v>
                </c:pt>
                <c:pt idx="15" c:formatCode="General">
                  <c:v>263.75</c:v>
                </c:pt>
                <c:pt idx="16" c:formatCode="General">
                  <c:v>135.625</c:v>
                </c:pt>
                <c:pt idx="17" c:formatCode="General">
                  <c:v>434.999999999999</c:v>
                </c:pt>
                <c:pt idx="18">
                  <c:v>-539.375</c:v>
                </c:pt>
                <c:pt idx="19">
                  <c:v>786.25</c:v>
                </c:pt>
                <c:pt idx="20" c:formatCode="General">
                  <c:v>120</c:v>
                </c:pt>
                <c:pt idx="21">
                  <c:v>-810.625</c:v>
                </c:pt>
                <c:pt idx="22" c:formatCode="General">
                  <c:v>435.625</c:v>
                </c:pt>
                <c:pt idx="23" c:formatCode="General">
                  <c:v>291.25</c:v>
                </c:pt>
                <c:pt idx="24">
                  <c:v>-639.375</c:v>
                </c:pt>
                <c:pt idx="25" c:formatCode="General">
                  <c:v>615</c:v>
                </c:pt>
                <c:pt idx="26">
                  <c:v>715</c:v>
                </c:pt>
                <c:pt idx="27">
                  <c:v>-239.375</c:v>
                </c:pt>
                <c:pt idx="28" c:formatCode="General">
                  <c:v>391.249999999999</c:v>
                </c:pt>
                <c:pt idx="29">
                  <c:v>-35.6249999999998</c:v>
                </c:pt>
                <c:pt idx="30" c:formatCode="General">
                  <c:v>235.624999999999</c:v>
                </c:pt>
                <c:pt idx="31">
                  <c:v>-710.625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17801"/>
        <c:axId val="329794224"/>
      </c:scatterChart>
      <c:valAx>
        <c:axId val="4257178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794224"/>
        <c:crosses val="autoZero"/>
        <c:crossBetween val="midCat"/>
      </c:valAx>
      <c:valAx>
        <c:axId val="3297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7178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d8beb9-b0c3-4dfd-9318-ac9433c133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143510</xdr:colOff>
      <xdr:row>1</xdr:row>
      <xdr:rowOff>64770</xdr:rowOff>
    </xdr:from>
    <xdr:to>
      <xdr:col>14</xdr:col>
      <xdr:colOff>85725</xdr:colOff>
      <xdr:row>18</xdr:row>
      <xdr:rowOff>92075</xdr:rowOff>
    </xdr:to>
    <xdr:graphicFrame>
      <xdr:nvGraphicFramePr>
        <xdr:cNvPr id="4" name="图表 3"/>
        <xdr:cNvGraphicFramePr/>
      </xdr:nvGraphicFramePr>
      <xdr:xfrm>
        <a:off x="4685665" y="236220"/>
        <a:ext cx="5428615" cy="2941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164465</xdr:colOff>
      <xdr:row>19</xdr:row>
      <xdr:rowOff>99060</xdr:rowOff>
    </xdr:from>
    <xdr:to>
      <xdr:col>14</xdr:col>
      <xdr:colOff>92710</xdr:colOff>
      <xdr:row>35</xdr:row>
      <xdr:rowOff>133350</xdr:rowOff>
    </xdr:to>
    <xdr:graphicFrame>
      <xdr:nvGraphicFramePr>
        <xdr:cNvPr id="2" name="图表 1"/>
        <xdr:cNvGraphicFramePr/>
      </xdr:nvGraphicFramePr>
      <xdr:xfrm>
        <a:off x="4706620" y="3356610"/>
        <a:ext cx="5414645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1:W33" totalsRowShown="0">
  <autoFilter xmlns:etc="http://www.wps.cn/officeDocument/2017/etCustomData" ref="A1:W33" etc:filterBottomFollowUsedRange="0">
    <filterColumn colId="14">
      <customFilters>
        <customFilter operator="equal" val="1"/>
      </customFilters>
    </filterColumn>
  </autoFilter>
  <tableColumns count="23">
    <tableColumn id="1" name="flag" dataDxfId="0"/>
    <tableColumn id="2" name="Y" dataDxfId="1"/>
    <tableColumn id="3" name="路障" dataDxfId="2"/>
    <tableColumn id="4" name="撑杆" dataDxfId="3"/>
    <tableColumn id="5" name="铁桶" dataDxfId="4"/>
    <tableColumn id="6" name="读报" dataDxfId="5"/>
    <tableColumn id="7" name="铁门" dataDxfId="6"/>
    <tableColumn id="8" name="橄榄" dataDxfId="7"/>
    <tableColumn id="9" name="舞王" dataDxfId="8"/>
    <tableColumn id="10" name="潜水" dataDxfId="9"/>
    <tableColumn id="11" name="冰车" dataDxfId="10"/>
    <tableColumn id="12" name="海豚" dataDxfId="11"/>
    <tableColumn id="13" name="小丑" dataDxfId="12"/>
    <tableColumn id="14" name="气球" dataDxfId="13"/>
    <tableColumn id="15" name="矿工" dataDxfId="14"/>
    <tableColumn id="16" name="跳跳" dataDxfId="15"/>
    <tableColumn id="17" name="蹦极" dataDxfId="16"/>
    <tableColumn id="18" name="扶梯" dataDxfId="17"/>
    <tableColumn id="19" name="投篮" dataDxfId="18"/>
    <tableColumn id="20" name="白眼" dataDxfId="19"/>
    <tableColumn id="21" name="红眼" dataDxfId="20"/>
    <tableColumn id="22" name="权重和" dataDxfId="21"/>
    <tableColumn id="23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33"/>
  <sheetViews>
    <sheetView zoomScale="70" zoomScaleNormal="70" workbookViewId="0">
      <selection activeCell="B2" sqref="B2:B33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6384" width="9" style="3"/>
  </cols>
  <sheetData>
    <row r="1" ht="14.25" spans="1:22">
      <c r="A1" s="25" t="s">
        <v>0</v>
      </c>
      <c r="B1" s="25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>
      <c r="A2" s="22" t="s">
        <v>22</v>
      </c>
      <c r="B2" s="27">
        <v>-175</v>
      </c>
      <c r="C2" s="28">
        <v>1</v>
      </c>
      <c r="D2" s="28">
        <v>0</v>
      </c>
      <c r="E2" s="28">
        <v>1</v>
      </c>
      <c r="F2" s="28">
        <v>0</v>
      </c>
      <c r="G2" s="28">
        <v>0</v>
      </c>
      <c r="H2" s="28">
        <v>1</v>
      </c>
      <c r="I2" s="28">
        <v>0</v>
      </c>
      <c r="J2" s="28">
        <v>0</v>
      </c>
      <c r="K2" s="28">
        <v>0</v>
      </c>
      <c r="L2" s="28">
        <v>0</v>
      </c>
      <c r="M2" s="28">
        <v>1</v>
      </c>
      <c r="N2" s="28">
        <v>0</v>
      </c>
      <c r="O2" s="28">
        <v>1</v>
      </c>
      <c r="P2" s="28">
        <v>1</v>
      </c>
      <c r="Q2" s="28">
        <v>1</v>
      </c>
      <c r="R2" s="28">
        <v>1</v>
      </c>
      <c r="S2" s="28">
        <v>0</v>
      </c>
      <c r="T2" s="28">
        <v>0</v>
      </c>
      <c r="U2" s="28">
        <v>1</v>
      </c>
      <c r="V2" s="29">
        <v>11401</v>
      </c>
    </row>
    <row r="3" spans="1:22">
      <c r="A3" s="23" t="s">
        <v>23</v>
      </c>
      <c r="B3" s="2">
        <v>175</v>
      </c>
      <c r="C3" s="30">
        <v>1</v>
      </c>
      <c r="D3" s="30">
        <v>0</v>
      </c>
      <c r="E3" s="30">
        <v>1</v>
      </c>
      <c r="F3" s="30">
        <v>0</v>
      </c>
      <c r="G3" s="30">
        <v>0</v>
      </c>
      <c r="H3" s="30">
        <v>1</v>
      </c>
      <c r="I3" s="30">
        <v>1</v>
      </c>
      <c r="J3" s="30">
        <v>0</v>
      </c>
      <c r="K3" s="30">
        <v>0</v>
      </c>
      <c r="L3" s="30">
        <v>0</v>
      </c>
      <c r="M3" s="30">
        <v>0</v>
      </c>
      <c r="N3" s="30">
        <v>1</v>
      </c>
      <c r="O3" s="30">
        <v>1</v>
      </c>
      <c r="P3" s="30">
        <v>1</v>
      </c>
      <c r="Q3" s="30">
        <v>1</v>
      </c>
      <c r="R3" s="30">
        <v>0</v>
      </c>
      <c r="S3" s="30">
        <v>0</v>
      </c>
      <c r="T3" s="30">
        <v>0</v>
      </c>
      <c r="U3" s="30">
        <v>0</v>
      </c>
      <c r="V3" s="31">
        <v>11401</v>
      </c>
    </row>
    <row r="4" spans="1:22">
      <c r="A4" s="23" t="s">
        <v>24</v>
      </c>
      <c r="B4" s="2">
        <v>-725</v>
      </c>
      <c r="C4" s="30">
        <v>1</v>
      </c>
      <c r="D4" s="30">
        <v>1</v>
      </c>
      <c r="E4" s="30">
        <v>0</v>
      </c>
      <c r="F4" s="30">
        <v>1</v>
      </c>
      <c r="G4" s="30">
        <v>0</v>
      </c>
      <c r="H4" s="30">
        <v>1</v>
      </c>
      <c r="I4" s="30">
        <v>1</v>
      </c>
      <c r="J4" s="30">
        <v>0</v>
      </c>
      <c r="K4" s="30">
        <v>0</v>
      </c>
      <c r="L4" s="30">
        <v>0</v>
      </c>
      <c r="M4" s="30">
        <v>0</v>
      </c>
      <c r="N4" s="30">
        <v>0</v>
      </c>
      <c r="O4" s="30">
        <v>0</v>
      </c>
      <c r="P4" s="30">
        <v>0</v>
      </c>
      <c r="Q4" s="30">
        <v>1</v>
      </c>
      <c r="R4" s="30">
        <v>1</v>
      </c>
      <c r="S4" s="30">
        <v>1</v>
      </c>
      <c r="T4" s="30">
        <v>0</v>
      </c>
      <c r="U4" s="30">
        <v>1</v>
      </c>
      <c r="V4" s="31">
        <v>10901</v>
      </c>
    </row>
    <row r="5" spans="1:22">
      <c r="A5" s="23" t="s">
        <v>25</v>
      </c>
      <c r="B5" s="2">
        <v>100</v>
      </c>
      <c r="C5" s="30">
        <v>1</v>
      </c>
      <c r="D5" s="30">
        <v>0</v>
      </c>
      <c r="E5" s="30">
        <v>0</v>
      </c>
      <c r="F5" s="30">
        <v>0</v>
      </c>
      <c r="G5" s="30">
        <v>0</v>
      </c>
      <c r="H5" s="30">
        <v>1</v>
      </c>
      <c r="I5" s="30">
        <v>1</v>
      </c>
      <c r="J5" s="30">
        <v>0</v>
      </c>
      <c r="K5" s="30">
        <v>0</v>
      </c>
      <c r="L5" s="30">
        <v>0</v>
      </c>
      <c r="M5" s="30">
        <v>1</v>
      </c>
      <c r="N5" s="30">
        <v>0</v>
      </c>
      <c r="O5" s="30">
        <v>1</v>
      </c>
      <c r="P5" s="30">
        <v>1</v>
      </c>
      <c r="Q5" s="30">
        <v>1</v>
      </c>
      <c r="R5" s="30">
        <v>1</v>
      </c>
      <c r="S5" s="30">
        <v>0</v>
      </c>
      <c r="T5" s="30">
        <v>1</v>
      </c>
      <c r="U5" s="30">
        <v>0</v>
      </c>
      <c r="V5" s="31">
        <v>9901</v>
      </c>
    </row>
    <row r="6" spans="1:22">
      <c r="A6" s="23" t="s">
        <v>26</v>
      </c>
      <c r="B6" s="2">
        <v>825</v>
      </c>
      <c r="C6" s="30">
        <v>1</v>
      </c>
      <c r="D6" s="30">
        <v>1</v>
      </c>
      <c r="E6" s="30">
        <v>1</v>
      </c>
      <c r="F6" s="30">
        <v>0</v>
      </c>
      <c r="G6" s="30">
        <v>1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1</v>
      </c>
      <c r="P6" s="30">
        <v>1</v>
      </c>
      <c r="Q6" s="30">
        <v>1</v>
      </c>
      <c r="R6" s="30">
        <v>1</v>
      </c>
      <c r="S6" s="30">
        <v>0</v>
      </c>
      <c r="T6" s="30">
        <v>1</v>
      </c>
      <c r="U6" s="30">
        <v>0</v>
      </c>
      <c r="V6" s="31">
        <v>14401</v>
      </c>
    </row>
    <row r="7" spans="1:22">
      <c r="A7" s="23" t="s">
        <v>27</v>
      </c>
      <c r="B7" s="2">
        <v>625</v>
      </c>
      <c r="C7" s="30">
        <v>1</v>
      </c>
      <c r="D7" s="30">
        <v>0</v>
      </c>
      <c r="E7" s="30">
        <v>0</v>
      </c>
      <c r="F7" s="30">
        <v>1</v>
      </c>
      <c r="G7" s="30">
        <v>1</v>
      </c>
      <c r="H7" s="30">
        <v>1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1</v>
      </c>
      <c r="P7" s="30">
        <v>0</v>
      </c>
      <c r="Q7" s="30">
        <v>1</v>
      </c>
      <c r="R7" s="30">
        <v>1</v>
      </c>
      <c r="S7" s="30">
        <v>1</v>
      </c>
      <c r="T7" s="30">
        <v>1</v>
      </c>
      <c r="U7" s="30">
        <v>0</v>
      </c>
      <c r="V7" s="31">
        <v>12901</v>
      </c>
    </row>
    <row r="8" spans="1:22">
      <c r="A8" s="23" t="s">
        <v>28</v>
      </c>
      <c r="B8" s="2">
        <v>850</v>
      </c>
      <c r="C8" s="30">
        <v>1</v>
      </c>
      <c r="D8" s="30">
        <v>0</v>
      </c>
      <c r="E8" s="30">
        <v>0</v>
      </c>
      <c r="F8" s="30">
        <v>0</v>
      </c>
      <c r="G8" s="30">
        <v>1</v>
      </c>
      <c r="H8" s="30">
        <v>0</v>
      </c>
      <c r="I8" s="30">
        <v>1</v>
      </c>
      <c r="J8" s="30">
        <v>0</v>
      </c>
      <c r="K8" s="30">
        <v>0</v>
      </c>
      <c r="L8" s="30">
        <v>0</v>
      </c>
      <c r="M8" s="30">
        <v>1</v>
      </c>
      <c r="N8" s="30">
        <v>1</v>
      </c>
      <c r="O8" s="30">
        <v>1</v>
      </c>
      <c r="P8" s="30">
        <v>0</v>
      </c>
      <c r="Q8" s="30">
        <v>1</v>
      </c>
      <c r="R8" s="30">
        <v>1</v>
      </c>
      <c r="S8" s="30">
        <v>0</v>
      </c>
      <c r="T8" s="30">
        <v>1</v>
      </c>
      <c r="U8" s="30">
        <v>0</v>
      </c>
      <c r="V8" s="31">
        <v>12401</v>
      </c>
    </row>
    <row r="9" spans="1:22">
      <c r="A9" s="23" t="s">
        <v>29</v>
      </c>
      <c r="B9" s="2">
        <v>275</v>
      </c>
      <c r="C9" s="30">
        <v>1</v>
      </c>
      <c r="D9" s="30">
        <v>0</v>
      </c>
      <c r="E9" s="30">
        <v>0</v>
      </c>
      <c r="F9" s="30">
        <v>1</v>
      </c>
      <c r="G9" s="30">
        <v>1</v>
      </c>
      <c r="H9" s="30">
        <v>0</v>
      </c>
      <c r="I9" s="30">
        <v>1</v>
      </c>
      <c r="J9" s="30">
        <v>0</v>
      </c>
      <c r="K9" s="30">
        <v>0</v>
      </c>
      <c r="L9" s="30">
        <v>0</v>
      </c>
      <c r="M9" s="30">
        <v>1</v>
      </c>
      <c r="N9" s="30">
        <v>1</v>
      </c>
      <c r="O9" s="30">
        <v>0</v>
      </c>
      <c r="P9" s="30">
        <v>1</v>
      </c>
      <c r="Q9" s="30">
        <v>0</v>
      </c>
      <c r="R9" s="30">
        <v>0</v>
      </c>
      <c r="S9" s="30">
        <v>1</v>
      </c>
      <c r="T9" s="30">
        <v>0</v>
      </c>
      <c r="U9" s="30">
        <v>1</v>
      </c>
      <c r="V9" s="31">
        <v>13401</v>
      </c>
    </row>
    <row r="10" spans="1:22">
      <c r="A10" s="23" t="s">
        <v>30</v>
      </c>
      <c r="B10" s="2">
        <v>100</v>
      </c>
      <c r="C10" s="30">
        <v>1</v>
      </c>
      <c r="D10" s="30">
        <v>1</v>
      </c>
      <c r="E10" s="30">
        <v>0</v>
      </c>
      <c r="F10" s="30">
        <v>0</v>
      </c>
      <c r="G10" s="30">
        <v>0</v>
      </c>
      <c r="H10" s="30">
        <v>1</v>
      </c>
      <c r="I10" s="30">
        <v>1</v>
      </c>
      <c r="J10" s="30">
        <v>0</v>
      </c>
      <c r="K10" s="30">
        <v>0</v>
      </c>
      <c r="L10" s="30">
        <v>0</v>
      </c>
      <c r="M10" s="30">
        <v>1</v>
      </c>
      <c r="N10" s="30">
        <v>1</v>
      </c>
      <c r="O10" s="30">
        <v>1</v>
      </c>
      <c r="P10" s="30">
        <v>0</v>
      </c>
      <c r="Q10" s="30">
        <v>1</v>
      </c>
      <c r="R10" s="30">
        <v>0</v>
      </c>
      <c r="S10" s="30">
        <v>0</v>
      </c>
      <c r="T10" s="30">
        <v>1</v>
      </c>
      <c r="U10" s="30">
        <v>0</v>
      </c>
      <c r="V10" s="31">
        <v>11901</v>
      </c>
    </row>
    <row r="11" spans="1:22">
      <c r="A11" s="23" t="s">
        <v>31</v>
      </c>
      <c r="B11" s="2">
        <v>-250</v>
      </c>
      <c r="C11" s="30">
        <v>1</v>
      </c>
      <c r="D11" s="30">
        <v>0</v>
      </c>
      <c r="E11" s="30">
        <v>1</v>
      </c>
      <c r="F11" s="30">
        <v>1</v>
      </c>
      <c r="G11" s="30">
        <v>0</v>
      </c>
      <c r="H11" s="30">
        <v>1</v>
      </c>
      <c r="I11" s="30">
        <v>1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1</v>
      </c>
      <c r="P11" s="30">
        <v>0</v>
      </c>
      <c r="Q11" s="30">
        <v>1</v>
      </c>
      <c r="R11" s="30">
        <v>0</v>
      </c>
      <c r="S11" s="30">
        <v>0</v>
      </c>
      <c r="T11" s="30">
        <v>1</v>
      </c>
      <c r="U11" s="30">
        <v>1</v>
      </c>
      <c r="V11" s="31">
        <v>11901</v>
      </c>
    </row>
    <row r="12" spans="1:22">
      <c r="A12" s="23" t="s">
        <v>32</v>
      </c>
      <c r="B12" s="2">
        <v>875</v>
      </c>
      <c r="C12" s="30">
        <v>1</v>
      </c>
      <c r="D12" s="30">
        <v>0</v>
      </c>
      <c r="E12" s="30">
        <v>0</v>
      </c>
      <c r="F12" s="30">
        <v>1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0</v>
      </c>
      <c r="V12" s="31">
        <v>8401</v>
      </c>
    </row>
    <row r="13" spans="1:22">
      <c r="A13" s="23" t="s">
        <v>33</v>
      </c>
      <c r="B13" s="2">
        <v>350</v>
      </c>
      <c r="C13" s="30">
        <v>1</v>
      </c>
      <c r="D13" s="30">
        <v>0</v>
      </c>
      <c r="E13" s="30">
        <v>0</v>
      </c>
      <c r="F13" s="30">
        <v>1</v>
      </c>
      <c r="G13" s="30">
        <v>0</v>
      </c>
      <c r="H13" s="30">
        <v>0</v>
      </c>
      <c r="I13" s="30">
        <v>1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1</v>
      </c>
      <c r="P13" s="30">
        <v>0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1">
        <v>9401</v>
      </c>
    </row>
    <row r="14" spans="1:22">
      <c r="A14" s="23" t="s">
        <v>34</v>
      </c>
      <c r="B14" s="2">
        <v>855</v>
      </c>
      <c r="C14" s="30">
        <v>1</v>
      </c>
      <c r="D14" s="30">
        <v>1</v>
      </c>
      <c r="E14" s="30">
        <v>1</v>
      </c>
      <c r="F14" s="30">
        <v>1</v>
      </c>
      <c r="G14" s="30">
        <v>0</v>
      </c>
      <c r="H14" s="30">
        <v>0</v>
      </c>
      <c r="I14" s="30">
        <v>1</v>
      </c>
      <c r="J14" s="30">
        <v>0</v>
      </c>
      <c r="K14" s="30">
        <v>0</v>
      </c>
      <c r="L14" s="30">
        <v>0</v>
      </c>
      <c r="M14" s="30">
        <v>1</v>
      </c>
      <c r="N14" s="30">
        <v>1</v>
      </c>
      <c r="O14" s="30">
        <v>0</v>
      </c>
      <c r="P14" s="30">
        <v>1</v>
      </c>
      <c r="Q14" s="30">
        <v>1</v>
      </c>
      <c r="R14" s="30">
        <v>1</v>
      </c>
      <c r="S14" s="30">
        <v>0</v>
      </c>
      <c r="T14" s="30">
        <v>0</v>
      </c>
      <c r="U14" s="30">
        <v>0</v>
      </c>
      <c r="V14" s="31">
        <v>13401</v>
      </c>
    </row>
    <row r="15" spans="1:22">
      <c r="A15" s="23" t="s">
        <v>35</v>
      </c>
      <c r="B15" s="2">
        <v>445</v>
      </c>
      <c r="C15" s="30">
        <v>1</v>
      </c>
      <c r="D15" s="30">
        <v>1</v>
      </c>
      <c r="E15" s="30">
        <v>1</v>
      </c>
      <c r="F15" s="30">
        <v>1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1</v>
      </c>
      <c r="O15" s="30">
        <v>1</v>
      </c>
      <c r="P15" s="30">
        <v>0</v>
      </c>
      <c r="Q15" s="30">
        <v>0</v>
      </c>
      <c r="R15" s="30">
        <v>1</v>
      </c>
      <c r="S15" s="30">
        <v>0</v>
      </c>
      <c r="T15" s="30">
        <v>0</v>
      </c>
      <c r="U15" s="30">
        <v>1</v>
      </c>
      <c r="V15" s="31">
        <v>12401</v>
      </c>
    </row>
    <row r="16" spans="1:22">
      <c r="A16" s="23" t="s">
        <v>36</v>
      </c>
      <c r="B16" s="2">
        <v>625</v>
      </c>
      <c r="C16" s="30">
        <v>1</v>
      </c>
      <c r="D16" s="30">
        <v>0</v>
      </c>
      <c r="E16" s="30">
        <v>0</v>
      </c>
      <c r="F16" s="30">
        <v>1</v>
      </c>
      <c r="G16" s="30">
        <v>1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1</v>
      </c>
      <c r="N16" s="30">
        <v>1</v>
      </c>
      <c r="O16" s="30">
        <v>1</v>
      </c>
      <c r="P16" s="30">
        <v>0</v>
      </c>
      <c r="Q16" s="30">
        <v>1</v>
      </c>
      <c r="R16" s="30">
        <v>1</v>
      </c>
      <c r="S16" s="30">
        <v>0</v>
      </c>
      <c r="T16" s="30">
        <v>0</v>
      </c>
      <c r="U16" s="30">
        <v>0</v>
      </c>
      <c r="V16" s="31">
        <v>10901</v>
      </c>
    </row>
    <row r="17" ht="14.25" spans="1:22">
      <c r="A17" s="32" t="s">
        <v>37</v>
      </c>
      <c r="B17" s="25">
        <v>-75</v>
      </c>
      <c r="C17" s="26">
        <v>1</v>
      </c>
      <c r="D17" s="26">
        <v>1</v>
      </c>
      <c r="E17" s="26">
        <v>0</v>
      </c>
      <c r="F17" s="26">
        <v>0</v>
      </c>
      <c r="G17" s="26">
        <v>0</v>
      </c>
      <c r="H17" s="26">
        <v>0</v>
      </c>
      <c r="I17" s="26">
        <v>1</v>
      </c>
      <c r="J17" s="26">
        <v>0</v>
      </c>
      <c r="K17" s="26">
        <v>0</v>
      </c>
      <c r="L17" s="26">
        <v>0</v>
      </c>
      <c r="M17" s="26">
        <v>1</v>
      </c>
      <c r="N17" s="26">
        <v>1</v>
      </c>
      <c r="O17" s="26">
        <v>0</v>
      </c>
      <c r="P17" s="26">
        <v>1</v>
      </c>
      <c r="Q17" s="26">
        <v>1</v>
      </c>
      <c r="R17" s="26">
        <v>0</v>
      </c>
      <c r="S17" s="26">
        <v>0</v>
      </c>
      <c r="T17" s="26">
        <v>1</v>
      </c>
      <c r="U17" s="26">
        <v>1</v>
      </c>
      <c r="V17" s="33">
        <v>10901</v>
      </c>
    </row>
    <row r="18" spans="1:22">
      <c r="A18" s="22" t="s">
        <v>22</v>
      </c>
      <c r="B18" s="27">
        <v>275</v>
      </c>
      <c r="C18" s="28">
        <v>1</v>
      </c>
      <c r="D18" s="28">
        <v>0</v>
      </c>
      <c r="E18" s="28">
        <v>0</v>
      </c>
      <c r="F18" s="28">
        <v>1</v>
      </c>
      <c r="G18" s="28">
        <v>0</v>
      </c>
      <c r="H18" s="28">
        <v>1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1</v>
      </c>
      <c r="O18" s="28">
        <v>0</v>
      </c>
      <c r="P18" s="28">
        <v>1</v>
      </c>
      <c r="Q18" s="28">
        <v>1</v>
      </c>
      <c r="R18" s="28">
        <v>1</v>
      </c>
      <c r="S18" s="28">
        <v>1</v>
      </c>
      <c r="T18" s="28">
        <v>0</v>
      </c>
      <c r="U18" s="28">
        <v>0</v>
      </c>
      <c r="V18" s="29">
        <v>9901</v>
      </c>
    </row>
    <row r="19" spans="1:22">
      <c r="A19" s="23" t="s">
        <v>23</v>
      </c>
      <c r="B19" s="2">
        <v>575</v>
      </c>
      <c r="C19" s="30">
        <v>1</v>
      </c>
      <c r="D19" s="30">
        <v>0</v>
      </c>
      <c r="E19" s="30">
        <v>0</v>
      </c>
      <c r="F19" s="30">
        <v>0</v>
      </c>
      <c r="G19" s="30">
        <v>1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1</v>
      </c>
      <c r="N19" s="30">
        <v>0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1">
        <v>12901</v>
      </c>
    </row>
    <row r="20" spans="1:22">
      <c r="A20" s="23" t="s">
        <v>24</v>
      </c>
      <c r="B20" s="2">
        <v>-575</v>
      </c>
      <c r="C20" s="30">
        <v>1</v>
      </c>
      <c r="D20" s="30">
        <v>0</v>
      </c>
      <c r="E20" s="30">
        <v>0</v>
      </c>
      <c r="F20" s="30">
        <v>1</v>
      </c>
      <c r="G20" s="30">
        <v>0</v>
      </c>
      <c r="H20" s="30">
        <v>1</v>
      </c>
      <c r="I20" s="30">
        <v>0</v>
      </c>
      <c r="J20" s="30">
        <v>0</v>
      </c>
      <c r="K20" s="30">
        <v>0</v>
      </c>
      <c r="L20" s="30">
        <v>0</v>
      </c>
      <c r="M20" s="30">
        <v>1</v>
      </c>
      <c r="N20" s="30">
        <v>0</v>
      </c>
      <c r="O20" s="30">
        <v>0</v>
      </c>
      <c r="P20" s="30">
        <v>1</v>
      </c>
      <c r="Q20" s="30">
        <v>0</v>
      </c>
      <c r="R20" s="30">
        <v>1</v>
      </c>
      <c r="S20" s="30">
        <v>0</v>
      </c>
      <c r="T20" s="30">
        <v>1</v>
      </c>
      <c r="U20" s="30">
        <v>1</v>
      </c>
      <c r="V20" s="31">
        <v>9901</v>
      </c>
    </row>
    <row r="21" spans="1:22">
      <c r="A21" s="23" t="s">
        <v>25</v>
      </c>
      <c r="B21" s="2">
        <v>625</v>
      </c>
      <c r="C21" s="30">
        <v>1</v>
      </c>
      <c r="D21" s="30">
        <v>1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1</v>
      </c>
      <c r="N21" s="30">
        <v>0</v>
      </c>
      <c r="O21" s="30">
        <v>1</v>
      </c>
      <c r="P21" s="30">
        <v>1</v>
      </c>
      <c r="Q21" s="30">
        <v>1</v>
      </c>
      <c r="R21" s="30">
        <v>1</v>
      </c>
      <c r="S21" s="30">
        <v>1</v>
      </c>
      <c r="T21" s="30">
        <v>0</v>
      </c>
      <c r="U21" s="30">
        <v>0</v>
      </c>
      <c r="V21" s="31">
        <v>8901</v>
      </c>
    </row>
    <row r="22" spans="1:22">
      <c r="A22" s="23" t="s">
        <v>26</v>
      </c>
      <c r="B22" s="2">
        <v>25</v>
      </c>
      <c r="C22" s="30">
        <v>1</v>
      </c>
      <c r="D22" s="30">
        <v>1</v>
      </c>
      <c r="E22" s="30">
        <v>0</v>
      </c>
      <c r="F22" s="30">
        <v>1</v>
      </c>
      <c r="G22" s="30">
        <v>0</v>
      </c>
      <c r="H22" s="30">
        <v>0</v>
      </c>
      <c r="I22" s="30">
        <v>1</v>
      </c>
      <c r="J22" s="30">
        <v>0</v>
      </c>
      <c r="K22" s="30">
        <v>0</v>
      </c>
      <c r="L22" s="30">
        <v>0</v>
      </c>
      <c r="M22" s="30">
        <v>1</v>
      </c>
      <c r="N22" s="30">
        <v>0</v>
      </c>
      <c r="O22" s="30">
        <v>0</v>
      </c>
      <c r="P22" s="30">
        <v>1</v>
      </c>
      <c r="Q22" s="30">
        <v>1</v>
      </c>
      <c r="R22" s="30">
        <v>1</v>
      </c>
      <c r="S22" s="30">
        <v>0</v>
      </c>
      <c r="T22" s="30">
        <v>0</v>
      </c>
      <c r="U22" s="30">
        <v>1</v>
      </c>
      <c r="V22" s="31">
        <v>9401</v>
      </c>
    </row>
    <row r="23" spans="1:22">
      <c r="A23" s="23" t="s">
        <v>27</v>
      </c>
      <c r="B23" s="2">
        <v>-750</v>
      </c>
      <c r="C23" s="30">
        <v>1</v>
      </c>
      <c r="D23" s="30">
        <v>0</v>
      </c>
      <c r="E23" s="30">
        <v>0</v>
      </c>
      <c r="F23" s="30">
        <v>1</v>
      </c>
      <c r="G23" s="30">
        <v>0</v>
      </c>
      <c r="H23" s="30">
        <v>1</v>
      </c>
      <c r="I23" s="30">
        <v>1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1</v>
      </c>
      <c r="P23" s="30">
        <v>1</v>
      </c>
      <c r="Q23" s="30">
        <v>1</v>
      </c>
      <c r="R23" s="30">
        <v>0</v>
      </c>
      <c r="S23" s="30">
        <v>1</v>
      </c>
      <c r="T23" s="30">
        <v>0</v>
      </c>
      <c r="U23" s="30">
        <v>1</v>
      </c>
      <c r="V23" s="31">
        <v>9901</v>
      </c>
    </row>
    <row r="24" ht="14.25" spans="1:22">
      <c r="A24" s="32" t="s">
        <v>28</v>
      </c>
      <c r="B24" s="25">
        <v>625</v>
      </c>
      <c r="C24" s="26">
        <v>1</v>
      </c>
      <c r="D24" s="26">
        <v>1</v>
      </c>
      <c r="E24" s="26">
        <v>1</v>
      </c>
      <c r="F24" s="26">
        <v>1</v>
      </c>
      <c r="G24" s="26">
        <v>1</v>
      </c>
      <c r="H24" s="26">
        <v>1</v>
      </c>
      <c r="I24" s="26">
        <v>0</v>
      </c>
      <c r="J24" s="26">
        <v>0</v>
      </c>
      <c r="K24" s="26">
        <v>0</v>
      </c>
      <c r="L24" s="26">
        <v>0</v>
      </c>
      <c r="M24" s="26">
        <v>1</v>
      </c>
      <c r="N24" s="26">
        <v>1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33">
        <v>15901</v>
      </c>
    </row>
    <row r="25" spans="1:22">
      <c r="A25" s="22" t="s">
        <v>22</v>
      </c>
      <c r="B25" s="27">
        <v>225</v>
      </c>
      <c r="C25" s="28">
        <v>1</v>
      </c>
      <c r="D25" s="28">
        <v>0</v>
      </c>
      <c r="E25" s="28">
        <v>0</v>
      </c>
      <c r="F25" s="28">
        <v>1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1</v>
      </c>
      <c r="N25" s="28">
        <v>0</v>
      </c>
      <c r="O25" s="28">
        <v>1</v>
      </c>
      <c r="P25" s="28">
        <v>1</v>
      </c>
      <c r="Q25" s="28">
        <v>0</v>
      </c>
      <c r="R25" s="28">
        <v>1</v>
      </c>
      <c r="S25" s="28">
        <v>1</v>
      </c>
      <c r="T25" s="28">
        <v>0</v>
      </c>
      <c r="U25" s="28">
        <v>1</v>
      </c>
      <c r="V25" s="29">
        <v>8901</v>
      </c>
    </row>
    <row r="26" spans="1:22">
      <c r="A26" s="23" t="s">
        <v>23</v>
      </c>
      <c r="B26" s="2">
        <v>-800</v>
      </c>
      <c r="C26" s="30">
        <v>1</v>
      </c>
      <c r="D26" s="30">
        <v>1</v>
      </c>
      <c r="E26" s="30">
        <v>0</v>
      </c>
      <c r="F26" s="30">
        <v>0</v>
      </c>
      <c r="G26" s="30">
        <v>0</v>
      </c>
      <c r="H26" s="30">
        <v>1</v>
      </c>
      <c r="I26" s="30">
        <v>0</v>
      </c>
      <c r="J26" s="30">
        <v>0</v>
      </c>
      <c r="K26" s="30">
        <v>0</v>
      </c>
      <c r="L26" s="30">
        <v>0</v>
      </c>
      <c r="M26" s="30">
        <v>1</v>
      </c>
      <c r="N26" s="30">
        <v>0</v>
      </c>
      <c r="O26" s="30">
        <v>0</v>
      </c>
      <c r="P26" s="30">
        <v>1</v>
      </c>
      <c r="Q26" s="30">
        <v>1</v>
      </c>
      <c r="R26" s="30">
        <v>1</v>
      </c>
      <c r="S26" s="30">
        <v>0</v>
      </c>
      <c r="T26" s="30">
        <v>0</v>
      </c>
      <c r="U26" s="30">
        <v>1</v>
      </c>
      <c r="V26" s="31">
        <v>9401</v>
      </c>
    </row>
    <row r="27" spans="1:22">
      <c r="A27" s="23" t="s">
        <v>24</v>
      </c>
      <c r="B27" s="2">
        <v>675</v>
      </c>
      <c r="C27" s="30">
        <v>1</v>
      </c>
      <c r="D27" s="30">
        <v>0</v>
      </c>
      <c r="E27" s="30">
        <v>0</v>
      </c>
      <c r="F27" s="30">
        <v>1</v>
      </c>
      <c r="G27" s="30">
        <v>0</v>
      </c>
      <c r="H27" s="30">
        <v>0</v>
      </c>
      <c r="I27" s="30">
        <v>1</v>
      </c>
      <c r="J27" s="30">
        <v>0</v>
      </c>
      <c r="K27" s="30">
        <v>0</v>
      </c>
      <c r="L27" s="30">
        <v>0</v>
      </c>
      <c r="M27" s="30">
        <v>1</v>
      </c>
      <c r="N27" s="30">
        <v>1</v>
      </c>
      <c r="O27" s="30">
        <v>0</v>
      </c>
      <c r="P27" s="30">
        <v>1</v>
      </c>
      <c r="Q27" s="30">
        <v>1</v>
      </c>
      <c r="R27" s="30">
        <v>0</v>
      </c>
      <c r="S27" s="30">
        <v>1</v>
      </c>
      <c r="T27" s="30">
        <v>0</v>
      </c>
      <c r="U27" s="30">
        <v>0</v>
      </c>
      <c r="V27" s="31">
        <v>8901</v>
      </c>
    </row>
    <row r="28" spans="1:22">
      <c r="A28" s="23" t="s">
        <v>25</v>
      </c>
      <c r="B28" s="2">
        <v>850</v>
      </c>
      <c r="C28" s="30">
        <v>1</v>
      </c>
      <c r="D28" s="30">
        <v>1</v>
      </c>
      <c r="E28" s="30">
        <v>0</v>
      </c>
      <c r="F28" s="30">
        <v>1</v>
      </c>
      <c r="G28" s="30">
        <v>0</v>
      </c>
      <c r="H28" s="30">
        <v>0</v>
      </c>
      <c r="I28" s="30">
        <v>1</v>
      </c>
      <c r="J28" s="30">
        <v>0</v>
      </c>
      <c r="K28" s="30">
        <v>0</v>
      </c>
      <c r="L28" s="30">
        <v>0</v>
      </c>
      <c r="M28" s="30">
        <v>1</v>
      </c>
      <c r="N28" s="30">
        <v>0</v>
      </c>
      <c r="O28" s="30">
        <v>0</v>
      </c>
      <c r="P28" s="30">
        <v>1</v>
      </c>
      <c r="Q28" s="30">
        <v>1</v>
      </c>
      <c r="R28" s="30">
        <v>0</v>
      </c>
      <c r="S28" s="30">
        <v>0</v>
      </c>
      <c r="T28" s="30">
        <v>1</v>
      </c>
      <c r="U28" s="30">
        <v>0</v>
      </c>
      <c r="V28" s="31">
        <v>8901</v>
      </c>
    </row>
    <row r="29" ht="14.25" spans="1:22">
      <c r="A29" s="32" t="s">
        <v>26</v>
      </c>
      <c r="B29" s="25">
        <v>-275</v>
      </c>
      <c r="C29" s="26">
        <v>1</v>
      </c>
      <c r="D29" s="26">
        <v>1</v>
      </c>
      <c r="E29" s="26">
        <v>0</v>
      </c>
      <c r="F29" s="26">
        <v>0</v>
      </c>
      <c r="G29" s="26">
        <v>0</v>
      </c>
      <c r="H29" s="26">
        <v>1</v>
      </c>
      <c r="I29" s="26">
        <v>0</v>
      </c>
      <c r="J29" s="26">
        <v>0</v>
      </c>
      <c r="K29" s="26">
        <v>0</v>
      </c>
      <c r="L29" s="26">
        <v>0</v>
      </c>
      <c r="M29" s="26">
        <v>1</v>
      </c>
      <c r="N29" s="26">
        <v>0</v>
      </c>
      <c r="O29" s="26">
        <v>0</v>
      </c>
      <c r="P29" s="26">
        <v>1</v>
      </c>
      <c r="Q29" s="26">
        <v>0</v>
      </c>
      <c r="R29" s="26">
        <v>1</v>
      </c>
      <c r="S29" s="26">
        <v>1</v>
      </c>
      <c r="T29" s="26">
        <v>1</v>
      </c>
      <c r="U29" s="26">
        <v>1</v>
      </c>
      <c r="V29" s="33">
        <v>12401</v>
      </c>
    </row>
    <row r="30" spans="1:22">
      <c r="A30" s="22" t="s">
        <v>22</v>
      </c>
      <c r="B30" s="27">
        <v>400</v>
      </c>
      <c r="C30" s="28">
        <v>1</v>
      </c>
      <c r="D30" s="28">
        <v>1</v>
      </c>
      <c r="E30" s="28">
        <v>0</v>
      </c>
      <c r="F30" s="28">
        <v>1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1</v>
      </c>
      <c r="O30" s="28">
        <v>0</v>
      </c>
      <c r="P30" s="28">
        <v>1</v>
      </c>
      <c r="Q30" s="28">
        <v>1</v>
      </c>
      <c r="R30" s="28">
        <v>0</v>
      </c>
      <c r="S30" s="28">
        <v>0</v>
      </c>
      <c r="T30" s="28">
        <v>1</v>
      </c>
      <c r="U30" s="28">
        <v>1</v>
      </c>
      <c r="V30" s="29">
        <v>9901</v>
      </c>
    </row>
    <row r="31" ht="14.25" spans="1:22">
      <c r="A31" s="32" t="s">
        <v>23</v>
      </c>
      <c r="B31" s="25">
        <v>-75</v>
      </c>
      <c r="C31" s="26">
        <v>1</v>
      </c>
      <c r="D31" s="26">
        <v>1</v>
      </c>
      <c r="E31" s="26">
        <v>0</v>
      </c>
      <c r="F31" s="26">
        <v>0</v>
      </c>
      <c r="G31" s="26">
        <v>0</v>
      </c>
      <c r="H31" s="26">
        <v>1</v>
      </c>
      <c r="I31" s="26">
        <v>1</v>
      </c>
      <c r="J31" s="26">
        <v>0</v>
      </c>
      <c r="K31" s="26">
        <v>0</v>
      </c>
      <c r="L31" s="26">
        <v>0</v>
      </c>
      <c r="M31" s="26">
        <v>1</v>
      </c>
      <c r="N31" s="26">
        <v>0</v>
      </c>
      <c r="O31" s="26">
        <v>1</v>
      </c>
      <c r="P31" s="26">
        <v>1</v>
      </c>
      <c r="Q31" s="26">
        <v>1</v>
      </c>
      <c r="R31" s="26">
        <v>0</v>
      </c>
      <c r="S31" s="26">
        <v>0</v>
      </c>
      <c r="T31" s="26">
        <v>0</v>
      </c>
      <c r="U31" s="26">
        <v>0</v>
      </c>
      <c r="V31" s="33">
        <v>9401</v>
      </c>
    </row>
    <row r="32" spans="1:22">
      <c r="A32" s="22" t="s">
        <v>22</v>
      </c>
      <c r="B32" s="27">
        <v>175</v>
      </c>
      <c r="C32" s="28">
        <v>1</v>
      </c>
      <c r="D32" s="28">
        <v>1</v>
      </c>
      <c r="E32" s="28">
        <v>0</v>
      </c>
      <c r="F32" s="28">
        <v>0</v>
      </c>
      <c r="G32" s="28">
        <v>0</v>
      </c>
      <c r="H32" s="28">
        <v>1</v>
      </c>
      <c r="I32" s="28">
        <v>0</v>
      </c>
      <c r="J32" s="28">
        <v>0</v>
      </c>
      <c r="K32" s="28">
        <v>0</v>
      </c>
      <c r="L32" s="28">
        <v>0</v>
      </c>
      <c r="M32" s="28">
        <v>1</v>
      </c>
      <c r="N32" s="28">
        <v>0</v>
      </c>
      <c r="O32" s="28">
        <v>1</v>
      </c>
      <c r="P32" s="28">
        <v>0</v>
      </c>
      <c r="Q32" s="28">
        <v>1</v>
      </c>
      <c r="R32" s="28">
        <v>1</v>
      </c>
      <c r="S32" s="28">
        <v>0</v>
      </c>
      <c r="T32" s="28">
        <v>1</v>
      </c>
      <c r="U32" s="28">
        <v>0</v>
      </c>
      <c r="V32" s="29">
        <v>9901</v>
      </c>
    </row>
    <row r="33" ht="14.25" spans="1:22">
      <c r="A33" s="24" t="s">
        <v>23</v>
      </c>
      <c r="B33" s="34">
        <v>-650</v>
      </c>
      <c r="C33" s="35">
        <v>1</v>
      </c>
      <c r="D33" s="35">
        <v>1</v>
      </c>
      <c r="E33" s="35">
        <v>0</v>
      </c>
      <c r="F33" s="35">
        <v>0</v>
      </c>
      <c r="G33" s="35">
        <v>0</v>
      </c>
      <c r="H33" s="35">
        <v>1</v>
      </c>
      <c r="I33" s="35">
        <v>1</v>
      </c>
      <c r="J33" s="35">
        <v>0</v>
      </c>
      <c r="K33" s="35">
        <v>0</v>
      </c>
      <c r="L33" s="35">
        <v>0</v>
      </c>
      <c r="M33" s="35">
        <v>1</v>
      </c>
      <c r="N33" s="35">
        <v>0</v>
      </c>
      <c r="O33" s="35">
        <v>0</v>
      </c>
      <c r="P33" s="35">
        <v>0</v>
      </c>
      <c r="Q33" s="35">
        <v>1</v>
      </c>
      <c r="R33" s="35">
        <v>0</v>
      </c>
      <c r="S33" s="35">
        <v>0</v>
      </c>
      <c r="T33" s="35">
        <v>1</v>
      </c>
      <c r="U33" s="35">
        <v>1</v>
      </c>
      <c r="V33" s="36">
        <v>9901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34"/>
  <sheetViews>
    <sheetView zoomScale="115" zoomScaleNormal="115" workbookViewId="0">
      <selection activeCell="D17" sqref="D17"/>
    </sheetView>
  </sheetViews>
  <sheetFormatPr defaultColWidth="9" defaultRowHeight="13.5" outlineLevelCol="1"/>
  <cols>
    <col min="1" max="1" width="6.375" style="3" customWidth="1"/>
    <col min="2" max="2" width="8.575" style="5" customWidth="1"/>
    <col min="3" max="16384" width="9" style="5"/>
  </cols>
  <sheetData>
    <row r="1" ht="14.25" spans="1:2">
      <c r="A1" s="18" t="s">
        <v>0</v>
      </c>
      <c r="B1" s="19" t="s">
        <v>38</v>
      </c>
    </row>
    <row r="2" ht="14.25" spans="1:2">
      <c r="A2" s="20" t="s">
        <v>39</v>
      </c>
      <c r="B2" s="21"/>
    </row>
    <row r="3" spans="1:2">
      <c r="A3" s="22" t="s">
        <v>22</v>
      </c>
      <c r="B3" s="5">
        <v>-175</v>
      </c>
    </row>
    <row r="4" spans="1:2">
      <c r="A4" s="23" t="s">
        <v>23</v>
      </c>
      <c r="B4" s="5">
        <v>175</v>
      </c>
    </row>
    <row r="5" spans="1:2">
      <c r="A5" s="23" t="s">
        <v>24</v>
      </c>
      <c r="B5" s="5">
        <v>-725</v>
      </c>
    </row>
    <row r="6" spans="1:2">
      <c r="A6" s="23" t="s">
        <v>25</v>
      </c>
      <c r="B6" s="5">
        <v>100</v>
      </c>
    </row>
    <row r="7" spans="1:2">
      <c r="A7" s="23" t="s">
        <v>26</v>
      </c>
      <c r="B7" s="5">
        <v>825</v>
      </c>
    </row>
    <row r="8" spans="1:2">
      <c r="A8" s="23" t="s">
        <v>27</v>
      </c>
      <c r="B8" s="5">
        <v>625</v>
      </c>
    </row>
    <row r="9" spans="1:2">
      <c r="A9" s="23" t="s">
        <v>28</v>
      </c>
      <c r="B9" s="5">
        <v>850</v>
      </c>
    </row>
    <row r="10" spans="1:2">
      <c r="A10" s="23" t="s">
        <v>29</v>
      </c>
      <c r="B10" s="5">
        <v>275</v>
      </c>
    </row>
    <row r="11" spans="1:2">
      <c r="A11" s="23" t="s">
        <v>30</v>
      </c>
      <c r="B11" s="5">
        <v>100</v>
      </c>
    </row>
    <row r="12" spans="1:2">
      <c r="A12" s="23" t="s">
        <v>31</v>
      </c>
      <c r="B12" s="5">
        <v>-250</v>
      </c>
    </row>
    <row r="13" spans="1:2">
      <c r="A13" s="23" t="s">
        <v>32</v>
      </c>
      <c r="B13" s="5">
        <v>875</v>
      </c>
    </row>
    <row r="14" spans="1:2">
      <c r="A14" s="23" t="s">
        <v>33</v>
      </c>
      <c r="B14" s="5">
        <v>350</v>
      </c>
    </row>
    <row r="15" spans="1:2">
      <c r="A15" s="23" t="s">
        <v>34</v>
      </c>
      <c r="B15" s="5">
        <v>855</v>
      </c>
    </row>
    <row r="16" spans="1:2">
      <c r="A16" s="23" t="s">
        <v>35</v>
      </c>
      <c r="B16" s="5">
        <v>445</v>
      </c>
    </row>
    <row r="17" spans="1:2">
      <c r="A17" s="23" t="s">
        <v>36</v>
      </c>
      <c r="B17" s="5">
        <v>625</v>
      </c>
    </row>
    <row r="18" ht="14.25" spans="1:2">
      <c r="A18" s="24" t="s">
        <v>37</v>
      </c>
      <c r="B18" s="5">
        <v>-75</v>
      </c>
    </row>
    <row r="19" spans="1:2">
      <c r="A19" s="22" t="s">
        <v>22</v>
      </c>
      <c r="B19" s="5">
        <v>275</v>
      </c>
    </row>
    <row r="20" spans="1:2">
      <c r="A20" s="23" t="s">
        <v>23</v>
      </c>
      <c r="B20" s="5">
        <v>575</v>
      </c>
    </row>
    <row r="21" spans="1:2">
      <c r="A21" s="23" t="s">
        <v>24</v>
      </c>
      <c r="B21" s="5">
        <v>-575</v>
      </c>
    </row>
    <row r="22" spans="1:2">
      <c r="A22" s="23" t="s">
        <v>25</v>
      </c>
      <c r="B22" s="5">
        <v>625</v>
      </c>
    </row>
    <row r="23" spans="1:2">
      <c r="A23" s="23" t="s">
        <v>26</v>
      </c>
      <c r="B23" s="5">
        <v>25</v>
      </c>
    </row>
    <row r="24" spans="1:2">
      <c r="A24" s="23" t="s">
        <v>27</v>
      </c>
      <c r="B24" s="5">
        <v>-750</v>
      </c>
    </row>
    <row r="25" ht="14.25" spans="1:2">
      <c r="A25" s="24" t="s">
        <v>28</v>
      </c>
      <c r="B25" s="5">
        <v>625</v>
      </c>
    </row>
    <row r="26" spans="1:2">
      <c r="A26" s="22" t="s">
        <v>22</v>
      </c>
      <c r="B26" s="5">
        <v>225</v>
      </c>
    </row>
    <row r="27" spans="1:2">
      <c r="A27" s="23" t="s">
        <v>23</v>
      </c>
      <c r="B27" s="5">
        <v>-800</v>
      </c>
    </row>
    <row r="28" spans="1:2">
      <c r="A28" s="23" t="s">
        <v>24</v>
      </c>
      <c r="B28" s="5">
        <v>675</v>
      </c>
    </row>
    <row r="29" spans="1:2">
      <c r="A29" s="23" t="s">
        <v>25</v>
      </c>
      <c r="B29" s="5">
        <v>850</v>
      </c>
    </row>
    <row r="30" ht="14.25" spans="1:2">
      <c r="A30" s="24" t="s">
        <v>26</v>
      </c>
      <c r="B30" s="5">
        <v>-275</v>
      </c>
    </row>
    <row r="31" spans="1:2">
      <c r="A31" s="22" t="s">
        <v>22</v>
      </c>
      <c r="B31" s="5">
        <v>400</v>
      </c>
    </row>
    <row r="32" ht="14.25" spans="1:2">
      <c r="A32" s="24" t="s">
        <v>23</v>
      </c>
      <c r="B32" s="5">
        <v>-75</v>
      </c>
    </row>
    <row r="33" spans="1:2">
      <c r="A33" s="22" t="s">
        <v>22</v>
      </c>
      <c r="B33" s="5">
        <v>175</v>
      </c>
    </row>
    <row r="34" ht="14.25" spans="1:2">
      <c r="A34" s="24" t="s">
        <v>23</v>
      </c>
      <c r="B34" s="5">
        <v>-650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I24"/>
  <sheetViews>
    <sheetView zoomScale="115" zoomScaleNormal="115" topLeftCell="A6" workbookViewId="0">
      <selection activeCell="C21" sqref="C21"/>
    </sheetView>
  </sheetViews>
  <sheetFormatPr defaultColWidth="9" defaultRowHeight="13.5"/>
  <cols>
    <col min="1" max="1" width="9" style="14"/>
    <col min="2" max="2" width="13.6333333333333" style="14" customWidth="1"/>
    <col min="3" max="4" width="12.625" style="14"/>
    <col min="5" max="5" width="9.375" style="14"/>
    <col min="6" max="12" width="12.625" style="14"/>
    <col min="13" max="16384" width="9" style="14"/>
  </cols>
  <sheetData>
    <row r="2" spans="2:9">
      <c r="C2" s="14" t="s">
        <v>40</v>
      </c>
      <c r="D2" s="14" t="s">
        <v>41</v>
      </c>
    </row>
    <row r="3" ht="14.25" spans="2:9">
      <c r="F3" s="14">
        <v>188</v>
      </c>
      <c r="G3" s="14">
        <v>236</v>
      </c>
      <c r="H3" s="14">
        <v>220</v>
      </c>
      <c r="I3" s="14">
        <v>216</v>
      </c>
    </row>
    <row r="4" ht="14.25" spans="2:9">
      <c r="B4" s="14" t="s">
        <v>42</v>
      </c>
      <c r="C4" s="14">
        <f>SUM(F4:I4)</f>
        <v>1.13333333333333</v>
      </c>
      <c r="D4" s="15">
        <f>(9*50+150+75)*C4</f>
        <v>765</v>
      </c>
      <c r="F4" s="14">
        <f>1-F3/300</f>
        <v>0.373333333333333</v>
      </c>
      <c r="G4" s="14">
        <f>1-G3/300</f>
        <v>0.213333333333333</v>
      </c>
      <c r="H4" s="14">
        <f>1-H3/300</f>
        <v>0.266666666666667</v>
      </c>
      <c r="I4" s="14">
        <f>1-I3/300</f>
        <v>0.28</v>
      </c>
    </row>
    <row r="5" spans="2:9">
      <c r="B5" s="14" t="s">
        <v>43</v>
      </c>
      <c r="C5" s="14">
        <v>23</v>
      </c>
      <c r="D5" s="14">
        <f>125*(C5)</f>
        <v>2875</v>
      </c>
    </row>
    <row r="7" ht="14.25" spans="2:9">
      <c r="B7" s="14" t="s">
        <v>44</v>
      </c>
    </row>
    <row r="8" ht="14.25" spans="2:9">
      <c r="B8" s="14" t="s">
        <v>45</v>
      </c>
      <c r="D8" s="15"/>
    </row>
    <row r="9" spans="2:9">
      <c r="B9" s="14" t="s">
        <v>46</v>
      </c>
    </row>
    <row r="11" ht="14.25" spans="2:9">
      <c r="B11" s="14" t="s">
        <v>47</v>
      </c>
    </row>
    <row r="12" ht="14.25" spans="2:9">
      <c r="B12" s="14" t="s">
        <v>48</v>
      </c>
      <c r="D12" s="15"/>
    </row>
    <row r="13" ht="14.25"/>
    <row r="14" ht="14.25" spans="2:9">
      <c r="B14" s="14" t="s">
        <v>49</v>
      </c>
      <c r="D14" s="15"/>
    </row>
    <row r="16" spans="2:9">
      <c r="B16" s="14" t="s">
        <v>50</v>
      </c>
    </row>
    <row r="17" spans="2:4">
      <c r="B17" s="14" t="s">
        <v>51</v>
      </c>
    </row>
    <row r="18" spans="2:4">
      <c r="B18" s="14" t="s">
        <v>52</v>
      </c>
    </row>
    <row r="20" spans="2:4">
      <c r="B20" s="14" t="s">
        <v>53</v>
      </c>
      <c r="C20" s="14">
        <v>3685.875</v>
      </c>
    </row>
    <row r="21" spans="2:4">
      <c r="B21" s="14" t="s">
        <v>54</v>
      </c>
      <c r="C21" s="16">
        <f>C20/32</f>
        <v>115.18359375</v>
      </c>
    </row>
    <row r="23" spans="2:4">
      <c r="B23" s="14" t="s">
        <v>55</v>
      </c>
    </row>
    <row r="24" spans="2:4">
      <c r="D24" s="1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E20"/>
  <sheetViews>
    <sheetView tabSelected="1" zoomScale="115" zoomScaleNormal="115" workbookViewId="0">
      <selection activeCell="C9" sqref="C9"/>
    </sheetView>
  </sheetViews>
  <sheetFormatPr defaultColWidth="9" defaultRowHeight="13.5" outlineLevelCol="4"/>
  <cols>
    <col min="1" max="1" width="11.5" style="9"/>
    <col min="2" max="2" width="13.275" style="9" customWidth="1"/>
    <col min="3" max="3" width="12.5583333333333" style="9" customWidth="1"/>
    <col min="4" max="5" width="13.75" style="9"/>
    <col min="6" max="16384" width="9" style="9"/>
  </cols>
  <sheetData>
    <row r="2" spans="1:5">
      <c r="A2" s="10"/>
      <c r="B2" s="10">
        <v>0</v>
      </c>
      <c r="E2" s="9" t="s">
        <v>56</v>
      </c>
    </row>
    <row r="3" spans="1:5">
      <c r="A3" s="11" t="s">
        <v>57</v>
      </c>
      <c r="B3" s="12">
        <f>C3+D3</f>
        <v>78.56640625</v>
      </c>
      <c r="C3" s="12">
        <v>193.75</v>
      </c>
      <c r="D3" s="9">
        <v>-115.18359375</v>
      </c>
      <c r="E3" s="9">
        <f>B3</f>
        <v>78.56640625</v>
      </c>
    </row>
    <row r="4" spans="1:5">
      <c r="A4" s="11" t="s">
        <v>20</v>
      </c>
      <c r="B4" s="13">
        <v>-317.5</v>
      </c>
      <c r="E4" s="9">
        <f>B4*(2*B14-1)</f>
        <v>-18.6764676</v>
      </c>
    </row>
    <row r="5" spans="1:5">
      <c r="A5" s="11" t="s">
        <v>7</v>
      </c>
      <c r="B5" s="13">
        <v>-331.25</v>
      </c>
      <c r="E5" s="9">
        <f>B5*(2*B14-1)</f>
        <v>-19.485291</v>
      </c>
    </row>
    <row r="6" spans="1:5">
      <c r="A6" s="11" t="s">
        <v>19</v>
      </c>
      <c r="B6" s="13">
        <v>50</v>
      </c>
      <c r="E6" s="9">
        <f>B6*(2*B14-1)</f>
        <v>2.941176</v>
      </c>
    </row>
    <row r="7" spans="1:5">
      <c r="A7" s="11" t="s">
        <v>58</v>
      </c>
      <c r="B7" s="13">
        <v>-85.9375</v>
      </c>
      <c r="E7" s="9">
        <f>B7*(2*B19-1)</f>
        <v>68.75</v>
      </c>
    </row>
    <row r="8" spans="1:5">
      <c r="A8" s="11" t="s">
        <v>8</v>
      </c>
      <c r="B8" s="13">
        <v>-85.625</v>
      </c>
      <c r="E8" s="9">
        <f>B8*(2*B14-1)</f>
        <v>-5.0367639</v>
      </c>
    </row>
    <row r="9" spans="1:5">
      <c r="A9" s="11" t="s">
        <v>59</v>
      </c>
      <c r="B9" s="13">
        <v>-70</v>
      </c>
      <c r="E9" s="9">
        <f>B9*(2*B16-1)</f>
        <v>4.1176464</v>
      </c>
    </row>
    <row r="10" spans="1:5">
      <c r="A10" s="11" t="s">
        <v>60</v>
      </c>
      <c r="B10" s="13">
        <v>-64.0625</v>
      </c>
      <c r="E10" s="9">
        <f>B10*(2*B20-1)</f>
        <v>3.0147054</v>
      </c>
    </row>
    <row r="11" spans="1:5">
      <c r="A11" s="11"/>
      <c r="B11" s="13"/>
      <c r="E11" s="9">
        <f>SUM(E3:E10)</f>
        <v>114.19141155</v>
      </c>
    </row>
    <row r="13" spans="1:5">
      <c r="A13" s="9" t="s">
        <v>61</v>
      </c>
      <c r="B13" s="9">
        <v>0.26470588</v>
      </c>
    </row>
    <row r="14" spans="1:5">
      <c r="A14" s="9" t="s">
        <v>62</v>
      </c>
      <c r="B14" s="9">
        <v>0.52941176</v>
      </c>
    </row>
    <row r="15" spans="1:5">
      <c r="A15" s="9" t="s">
        <v>63</v>
      </c>
      <c r="B15" s="9">
        <f>1+B13-2*B14</f>
        <v>0.20588236</v>
      </c>
    </row>
    <row r="16" spans="1:5">
      <c r="A16" s="9" t="s">
        <v>64</v>
      </c>
      <c r="B16" s="9">
        <f>B13+B15</f>
        <v>0.47058824</v>
      </c>
    </row>
    <row r="17" spans="1:2">
      <c r="A17" s="9" t="s">
        <v>65</v>
      </c>
      <c r="B17" s="9">
        <f>1-B16</f>
        <v>0.52941176</v>
      </c>
    </row>
    <row r="19" spans="1:2">
      <c r="A19" s="9" t="s">
        <v>66</v>
      </c>
      <c r="B19" s="9">
        <v>0.1</v>
      </c>
    </row>
    <row r="20" spans="1:2">
      <c r="A20" s="9" t="s">
        <v>67</v>
      </c>
      <c r="B20" s="9">
        <f>B19*B14+(1-B14)*(1-B19)</f>
        <v>0.476470592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4"/>
  <sheetViews>
    <sheetView zoomScale="85" zoomScaleNormal="85" workbookViewId="0">
      <selection activeCell="P25" sqref="P25"/>
    </sheetView>
  </sheetViews>
  <sheetFormatPr defaultColWidth="9" defaultRowHeight="13.5" outlineLevelCol="4"/>
  <cols>
    <col min="1" max="2" width="9" style="5"/>
    <col min="3" max="3" width="9.375" style="5"/>
    <col min="4" max="4" width="11.7333333333333" style="6" customWidth="1"/>
    <col min="5" max="5" width="11.5" style="5"/>
    <col min="6" max="16384" width="9" style="5"/>
  </cols>
  <sheetData>
    <row r="1" spans="1:5">
      <c r="B1" s="5" t="s">
        <v>68</v>
      </c>
      <c r="C1" s="5" t="b">
        <v>1</v>
      </c>
      <c r="D1" s="6" t="s">
        <v>69</v>
      </c>
      <c r="E1" s="5" t="s">
        <v>70</v>
      </c>
    </row>
    <row r="2" spans="1:5">
      <c r="C2" s="5">
        <v>8000</v>
      </c>
      <c r="E2" s="5">
        <v>8000</v>
      </c>
    </row>
    <row r="3" spans="1:5">
      <c r="A3" s="2" t="s">
        <v>22</v>
      </c>
      <c r="B3" s="5">
        <v>-175</v>
      </c>
      <c r="C3" s="5">
        <f>C2+B3-108.14</f>
        <v>7716.86</v>
      </c>
      <c r="D3" s="7">
        <v>-339.374999999999</v>
      </c>
      <c r="E3" s="5">
        <f>E2+D3-120.19</f>
        <v>7540.435</v>
      </c>
    </row>
    <row r="4" spans="1:5">
      <c r="A4" s="2" t="s">
        <v>23</v>
      </c>
      <c r="B4" s="5">
        <v>175</v>
      </c>
      <c r="C4" s="5">
        <f t="shared" ref="C4:C34" si="0">C3+B4-108.14</f>
        <v>7783.72</v>
      </c>
      <c r="D4" s="8">
        <v>264.375</v>
      </c>
      <c r="E4" s="5">
        <f t="shared" ref="E4:E34" si="1">E3+D4-120.19</f>
        <v>7684.62</v>
      </c>
    </row>
    <row r="5" spans="1:5">
      <c r="A5" s="2" t="s">
        <v>24</v>
      </c>
      <c r="B5" s="5">
        <v>-725</v>
      </c>
      <c r="C5" s="5">
        <f t="shared" si="0"/>
        <v>6950.58</v>
      </c>
      <c r="D5" s="7">
        <v>-510.624999999999</v>
      </c>
      <c r="E5" s="5">
        <f t="shared" si="1"/>
        <v>7053.805</v>
      </c>
    </row>
    <row r="6" spans="1:5">
      <c r="A6" s="2" t="s">
        <v>25</v>
      </c>
      <c r="B6" s="5">
        <v>100</v>
      </c>
      <c r="C6" s="5">
        <f t="shared" si="0"/>
        <v>6942.44</v>
      </c>
      <c r="D6" s="8">
        <v>64.3749999999999</v>
      </c>
      <c r="E6" s="5">
        <f t="shared" si="1"/>
        <v>6997.99</v>
      </c>
    </row>
    <row r="7" spans="1:5">
      <c r="A7" s="2" t="s">
        <v>26</v>
      </c>
      <c r="B7" s="5">
        <v>825</v>
      </c>
      <c r="C7" s="5">
        <f t="shared" si="0"/>
        <v>7659.3</v>
      </c>
      <c r="D7" s="8">
        <v>929.999999999999</v>
      </c>
      <c r="E7" s="5">
        <f t="shared" si="1"/>
        <v>7807.8</v>
      </c>
    </row>
    <row r="8" spans="1:5">
      <c r="A8" s="2" t="s">
        <v>27</v>
      </c>
      <c r="B8" s="5">
        <v>625</v>
      </c>
      <c r="C8" s="5">
        <f t="shared" si="0"/>
        <v>8176.16</v>
      </c>
      <c r="D8" s="7">
        <v>535.625</v>
      </c>
      <c r="E8" s="5">
        <f t="shared" si="1"/>
        <v>8223.235</v>
      </c>
    </row>
    <row r="9" spans="1:5">
      <c r="A9" s="2" t="s">
        <v>28</v>
      </c>
      <c r="B9" s="5">
        <v>850</v>
      </c>
      <c r="C9" s="5">
        <f t="shared" si="0"/>
        <v>8918.02</v>
      </c>
      <c r="D9" s="7">
        <v>758.75</v>
      </c>
      <c r="E9" s="5">
        <f t="shared" si="1"/>
        <v>8861.795</v>
      </c>
    </row>
    <row r="10" spans="1:5">
      <c r="A10" s="2" t="s">
        <v>29</v>
      </c>
      <c r="B10" s="5">
        <v>275</v>
      </c>
      <c r="C10" s="5">
        <f t="shared" si="0"/>
        <v>9084.88</v>
      </c>
      <c r="D10" s="8">
        <v>163.75</v>
      </c>
      <c r="E10" s="5">
        <f t="shared" si="1"/>
        <v>8905.355</v>
      </c>
    </row>
    <row r="11" spans="1:5">
      <c r="A11" s="2" t="s">
        <v>30</v>
      </c>
      <c r="B11" s="5">
        <v>100</v>
      </c>
      <c r="C11" s="5">
        <f t="shared" si="0"/>
        <v>9076.74</v>
      </c>
      <c r="D11" s="8">
        <v>364.375</v>
      </c>
      <c r="E11" s="5">
        <f t="shared" si="1"/>
        <v>9149.54</v>
      </c>
    </row>
    <row r="12" spans="1:5">
      <c r="A12" s="2" t="s">
        <v>31</v>
      </c>
      <c r="B12" s="5">
        <v>-250</v>
      </c>
      <c r="C12" s="5">
        <f t="shared" si="0"/>
        <v>8718.6</v>
      </c>
      <c r="D12" s="7">
        <v>-410.624999999999</v>
      </c>
      <c r="E12" s="5">
        <f t="shared" si="1"/>
        <v>8618.725</v>
      </c>
    </row>
    <row r="13" spans="1:5">
      <c r="A13" s="2" t="s">
        <v>32</v>
      </c>
      <c r="B13" s="5">
        <v>875</v>
      </c>
      <c r="C13" s="5">
        <f t="shared" si="0"/>
        <v>9485.46</v>
      </c>
      <c r="D13" s="8">
        <v>886.249999999999</v>
      </c>
      <c r="E13" s="5">
        <f t="shared" si="1"/>
        <v>9384.785</v>
      </c>
    </row>
    <row r="14" spans="1:5">
      <c r="A14" s="2" t="s">
        <v>33</v>
      </c>
      <c r="B14" s="5">
        <v>350</v>
      </c>
      <c r="C14" s="5">
        <f t="shared" si="0"/>
        <v>9727.32</v>
      </c>
      <c r="D14" s="8">
        <v>220</v>
      </c>
      <c r="E14" s="5">
        <f t="shared" si="1"/>
        <v>9484.595</v>
      </c>
    </row>
    <row r="15" spans="1:5">
      <c r="A15" s="2" t="s">
        <v>34</v>
      </c>
      <c r="B15" s="5">
        <v>855</v>
      </c>
      <c r="C15" s="5">
        <f t="shared" si="0"/>
        <v>10474.18</v>
      </c>
      <c r="D15" s="8">
        <v>658.75</v>
      </c>
      <c r="E15" s="5">
        <f t="shared" si="1"/>
        <v>10023.155</v>
      </c>
    </row>
    <row r="16" spans="1:5">
      <c r="A16" s="2" t="s">
        <v>35</v>
      </c>
      <c r="B16" s="5">
        <v>445</v>
      </c>
      <c r="C16" s="5">
        <f t="shared" si="0"/>
        <v>10811.04</v>
      </c>
      <c r="D16" s="8">
        <v>335</v>
      </c>
      <c r="E16" s="5">
        <f t="shared" si="1"/>
        <v>10237.965</v>
      </c>
    </row>
    <row r="17" spans="1:5">
      <c r="A17" s="2" t="s">
        <v>36</v>
      </c>
      <c r="B17" s="5">
        <v>625</v>
      </c>
      <c r="C17" s="5">
        <f t="shared" si="0"/>
        <v>11327.9</v>
      </c>
      <c r="D17" s="7">
        <v>830</v>
      </c>
      <c r="E17" s="5">
        <f t="shared" si="1"/>
        <v>10947.775</v>
      </c>
    </row>
    <row r="18" spans="1:5">
      <c r="A18" s="2" t="s">
        <v>37</v>
      </c>
      <c r="B18" s="5">
        <v>-75</v>
      </c>
      <c r="C18" s="5">
        <f t="shared" si="0"/>
        <v>11144.76</v>
      </c>
      <c r="D18" s="8">
        <v>263.75</v>
      </c>
      <c r="E18" s="5">
        <f t="shared" si="1"/>
        <v>11091.335</v>
      </c>
    </row>
    <row r="19" spans="1:5">
      <c r="A19" s="2" t="s">
        <v>22</v>
      </c>
      <c r="B19" s="5">
        <v>275</v>
      </c>
      <c r="C19" s="5">
        <f t="shared" si="0"/>
        <v>11311.62</v>
      </c>
      <c r="D19" s="8">
        <v>135.625</v>
      </c>
      <c r="E19" s="5">
        <f t="shared" si="1"/>
        <v>11106.77</v>
      </c>
    </row>
    <row r="20" spans="1:5">
      <c r="A20" s="2" t="s">
        <v>23</v>
      </c>
      <c r="B20" s="5">
        <v>575</v>
      </c>
      <c r="C20" s="5">
        <f t="shared" si="0"/>
        <v>11778.48</v>
      </c>
      <c r="D20" s="8">
        <v>434.999999999999</v>
      </c>
      <c r="E20" s="5">
        <f t="shared" si="1"/>
        <v>11421.58</v>
      </c>
    </row>
    <row r="21" spans="1:5">
      <c r="A21" s="2" t="s">
        <v>24</v>
      </c>
      <c r="B21" s="5">
        <v>-575</v>
      </c>
      <c r="C21" s="5">
        <f t="shared" si="0"/>
        <v>11095.34</v>
      </c>
      <c r="D21" s="7">
        <v>-539.375</v>
      </c>
      <c r="E21" s="5">
        <f t="shared" si="1"/>
        <v>10762.015</v>
      </c>
    </row>
    <row r="22" spans="1:5">
      <c r="A22" s="2" t="s">
        <v>25</v>
      </c>
      <c r="B22" s="5">
        <v>625</v>
      </c>
      <c r="C22" s="5">
        <f t="shared" si="0"/>
        <v>11612.2</v>
      </c>
      <c r="D22" s="7">
        <v>786.25</v>
      </c>
      <c r="E22" s="5">
        <f t="shared" si="1"/>
        <v>11428.075</v>
      </c>
    </row>
    <row r="23" spans="1:5">
      <c r="A23" s="2" t="s">
        <v>26</v>
      </c>
      <c r="B23" s="5">
        <v>25</v>
      </c>
      <c r="C23" s="5">
        <f t="shared" si="0"/>
        <v>11529.06</v>
      </c>
      <c r="D23" s="8">
        <v>120</v>
      </c>
      <c r="E23" s="5">
        <f t="shared" si="1"/>
        <v>11427.885</v>
      </c>
    </row>
    <row r="24" spans="1:5">
      <c r="A24" s="2" t="s">
        <v>27</v>
      </c>
      <c r="B24" s="5">
        <v>-750</v>
      </c>
      <c r="C24" s="5">
        <f t="shared" si="0"/>
        <v>10670.92</v>
      </c>
      <c r="D24" s="7">
        <v>-810.625</v>
      </c>
      <c r="E24" s="5">
        <f t="shared" si="1"/>
        <v>10497.07</v>
      </c>
    </row>
    <row r="25" spans="1:5">
      <c r="A25" s="2" t="s">
        <v>28</v>
      </c>
      <c r="B25" s="5">
        <v>625</v>
      </c>
      <c r="C25" s="5">
        <f t="shared" si="0"/>
        <v>11187.78</v>
      </c>
      <c r="D25" s="8">
        <v>435.625</v>
      </c>
      <c r="E25" s="5">
        <f t="shared" si="1"/>
        <v>10812.505</v>
      </c>
    </row>
    <row r="26" spans="1:5">
      <c r="A26" s="2" t="s">
        <v>22</v>
      </c>
      <c r="B26" s="5">
        <v>225</v>
      </c>
      <c r="C26" s="5">
        <f t="shared" si="0"/>
        <v>11304.64</v>
      </c>
      <c r="D26" s="8">
        <v>291.25</v>
      </c>
      <c r="E26" s="5">
        <f t="shared" si="1"/>
        <v>10983.565</v>
      </c>
    </row>
    <row r="27" spans="1:5">
      <c r="A27" s="2" t="s">
        <v>23</v>
      </c>
      <c r="B27" s="5">
        <v>-800</v>
      </c>
      <c r="C27" s="5">
        <f t="shared" si="0"/>
        <v>10396.5</v>
      </c>
      <c r="D27" s="7">
        <v>-639.375</v>
      </c>
      <c r="E27" s="5">
        <f t="shared" si="1"/>
        <v>10224</v>
      </c>
    </row>
    <row r="28" spans="1:5">
      <c r="A28" s="2" t="s">
        <v>24</v>
      </c>
      <c r="B28" s="5">
        <v>675</v>
      </c>
      <c r="C28" s="5">
        <f t="shared" si="0"/>
        <v>10963.36</v>
      </c>
      <c r="D28" s="8">
        <v>615</v>
      </c>
      <c r="E28" s="5">
        <f t="shared" si="1"/>
        <v>10718.81</v>
      </c>
    </row>
    <row r="29" spans="1:5">
      <c r="A29" s="2" t="s">
        <v>25</v>
      </c>
      <c r="B29" s="5">
        <v>850</v>
      </c>
      <c r="C29" s="5">
        <f t="shared" si="0"/>
        <v>11705.22</v>
      </c>
      <c r="D29" s="7">
        <v>715</v>
      </c>
      <c r="E29" s="5">
        <f t="shared" si="1"/>
        <v>11313.62</v>
      </c>
    </row>
    <row r="30" spans="1:5">
      <c r="A30" s="2" t="s">
        <v>26</v>
      </c>
      <c r="B30" s="5">
        <v>-275</v>
      </c>
      <c r="C30" s="5">
        <f t="shared" si="0"/>
        <v>11322.08</v>
      </c>
      <c r="D30" s="7">
        <v>-239.375</v>
      </c>
      <c r="E30" s="5">
        <f t="shared" si="1"/>
        <v>10954.055</v>
      </c>
    </row>
    <row r="31" spans="1:5">
      <c r="A31" s="2" t="s">
        <v>22</v>
      </c>
      <c r="B31" s="5">
        <v>400</v>
      </c>
      <c r="C31" s="5">
        <f t="shared" si="0"/>
        <v>11613.94</v>
      </c>
      <c r="D31" s="8">
        <v>391.249999999999</v>
      </c>
      <c r="E31" s="5">
        <f t="shared" si="1"/>
        <v>11225.115</v>
      </c>
    </row>
    <row r="32" spans="1:5">
      <c r="A32" s="2" t="s">
        <v>23</v>
      </c>
      <c r="B32" s="5">
        <v>-75</v>
      </c>
      <c r="C32" s="5">
        <f t="shared" si="0"/>
        <v>11430.8</v>
      </c>
      <c r="D32" s="7">
        <v>-35.6249999999998</v>
      </c>
      <c r="E32" s="5">
        <f t="shared" si="1"/>
        <v>11069.3</v>
      </c>
    </row>
    <row r="33" spans="1:5">
      <c r="A33" s="2" t="s">
        <v>22</v>
      </c>
      <c r="B33" s="5">
        <v>175</v>
      </c>
      <c r="C33" s="5">
        <f t="shared" si="0"/>
        <v>11497.66</v>
      </c>
      <c r="D33" s="8">
        <v>235.624999999999</v>
      </c>
      <c r="E33" s="5">
        <f t="shared" si="1"/>
        <v>11184.735</v>
      </c>
    </row>
    <row r="34" spans="1:5">
      <c r="A34" s="2" t="s">
        <v>23</v>
      </c>
      <c r="B34" s="5">
        <v>-650</v>
      </c>
      <c r="C34" s="5">
        <f t="shared" si="0"/>
        <v>10739.52</v>
      </c>
      <c r="D34" s="7">
        <v>-710.625</v>
      </c>
      <c r="E34" s="5">
        <f t="shared" si="1"/>
        <v>10353.92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36"/>
  <sheetViews>
    <sheetView workbookViewId="0">
      <selection activeCell="B2" sqref="B2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5" width="9" style="3"/>
    <col min="16" max="21" width="9" style="3" hidden="1" customWidth="1"/>
    <col min="22" max="16384" width="9" style="3"/>
  </cols>
  <sheetData>
    <row r="1" s="1" customFormat="1" spans="1:2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71</v>
      </c>
    </row>
    <row r="2" s="1" customFormat="1" spans="1:23">
      <c r="A2" s="2" t="s">
        <v>22</v>
      </c>
      <c r="B2" s="2">
        <v>270</v>
      </c>
      <c r="C2" s="4">
        <v>1</v>
      </c>
      <c r="D2" s="4">
        <v>0</v>
      </c>
      <c r="E2" s="4">
        <v>1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1</v>
      </c>
      <c r="P2" s="4">
        <v>0</v>
      </c>
      <c r="Q2" s="4">
        <v>1</v>
      </c>
      <c r="R2" s="4">
        <v>1</v>
      </c>
      <c r="S2" s="4">
        <v>0</v>
      </c>
      <c r="T2" s="4">
        <v>0</v>
      </c>
      <c r="U2" s="4">
        <v>1</v>
      </c>
      <c r="V2" s="4">
        <v>9401</v>
      </c>
      <c r="W2" s="3">
        <f>IF(V2&lt;10500,1,0)</f>
        <v>1</v>
      </c>
    </row>
    <row r="3" s="1" customFormat="1" hidden="1" spans="1:23">
      <c r="A3" s="2" t="s">
        <v>23</v>
      </c>
      <c r="B3" s="2">
        <v>195</v>
      </c>
      <c r="C3" s="4">
        <v>1</v>
      </c>
      <c r="D3" s="4">
        <v>0</v>
      </c>
      <c r="E3" s="4">
        <v>1</v>
      </c>
      <c r="F3" s="4">
        <v>0</v>
      </c>
      <c r="G3" s="4">
        <v>1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14901</v>
      </c>
      <c r="W3" s="3"/>
    </row>
    <row r="4" s="1" customFormat="1" hidden="1" spans="1:23">
      <c r="A4" s="2" t="s">
        <v>24</v>
      </c>
      <c r="B4" s="2">
        <v>55</v>
      </c>
      <c r="C4" s="4">
        <v>1</v>
      </c>
      <c r="D4" s="4">
        <v>0</v>
      </c>
      <c r="E4" s="4">
        <v>0</v>
      </c>
      <c r="F4" s="4">
        <v>1</v>
      </c>
      <c r="G4" s="4">
        <v>0</v>
      </c>
      <c r="H4" s="4">
        <v>1</v>
      </c>
      <c r="I4" s="4">
        <v>1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1</v>
      </c>
      <c r="S4" s="4">
        <v>0</v>
      </c>
      <c r="T4" s="4">
        <v>1</v>
      </c>
      <c r="U4" s="4">
        <v>1</v>
      </c>
      <c r="V4" s="4">
        <v>9901</v>
      </c>
      <c r="W4" s="3"/>
    </row>
    <row r="5" s="1" customFormat="1" spans="1:23">
      <c r="A5" s="2" t="s">
        <v>25</v>
      </c>
      <c r="B5" s="2">
        <v>-205</v>
      </c>
      <c r="C5" s="4">
        <v>1</v>
      </c>
      <c r="D5" s="4">
        <v>1</v>
      </c>
      <c r="E5" s="4">
        <v>0</v>
      </c>
      <c r="F5" s="4">
        <v>1</v>
      </c>
      <c r="G5" s="4">
        <v>1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1</v>
      </c>
      <c r="N5" s="4">
        <v>1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13901</v>
      </c>
      <c r="W5" s="3">
        <f>IF(V5&lt;10500,1,0)</f>
        <v>0</v>
      </c>
    </row>
    <row r="6" s="1" customFormat="1" spans="1:23">
      <c r="A6" s="2" t="s">
        <v>26</v>
      </c>
      <c r="B6" s="2">
        <v>275</v>
      </c>
      <c r="C6" s="4">
        <v>1</v>
      </c>
      <c r="D6" s="4">
        <v>0</v>
      </c>
      <c r="E6" s="4">
        <v>1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12901</v>
      </c>
      <c r="W6" s="3">
        <f>IF(V6&lt;10500,1,0)</f>
        <v>0</v>
      </c>
    </row>
    <row r="7" s="1" customFormat="1" hidden="1" spans="1:23">
      <c r="A7" s="2" t="s">
        <v>27</v>
      </c>
      <c r="B7" s="2">
        <v>410</v>
      </c>
      <c r="C7" s="4">
        <v>1</v>
      </c>
      <c r="D7" s="4">
        <v>1</v>
      </c>
      <c r="E7" s="4">
        <v>0</v>
      </c>
      <c r="F7" s="4">
        <v>1</v>
      </c>
      <c r="G7" s="4">
        <v>1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1</v>
      </c>
      <c r="T7" s="4">
        <v>1</v>
      </c>
      <c r="U7" s="4">
        <v>1</v>
      </c>
      <c r="V7" s="4">
        <v>12901</v>
      </c>
      <c r="W7" s="3"/>
    </row>
    <row r="8" s="1" customFormat="1" spans="1:23">
      <c r="A8" s="2" t="s">
        <v>28</v>
      </c>
      <c r="B8" s="2">
        <v>-425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M8" s="4">
        <v>1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0</v>
      </c>
      <c r="U8" s="4">
        <v>1</v>
      </c>
      <c r="V8" s="4">
        <v>11901</v>
      </c>
      <c r="W8" s="3">
        <f>IF(V8&lt;10500,1,0)</f>
        <v>0</v>
      </c>
    </row>
    <row r="9" s="1" customFormat="1" hidden="1" spans="1:23">
      <c r="A9" s="2" t="s">
        <v>29</v>
      </c>
      <c r="B9" s="2">
        <v>-300</v>
      </c>
      <c r="C9" s="4">
        <v>1</v>
      </c>
      <c r="D9" s="4">
        <v>1</v>
      </c>
      <c r="E9" s="4">
        <v>1</v>
      </c>
      <c r="F9" s="4">
        <v>0</v>
      </c>
      <c r="G9" s="4">
        <v>0</v>
      </c>
      <c r="H9" s="4">
        <v>1</v>
      </c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1</v>
      </c>
      <c r="O9" s="4">
        <v>0</v>
      </c>
      <c r="P9" s="4">
        <v>0</v>
      </c>
      <c r="Q9" s="4">
        <v>1</v>
      </c>
      <c r="R9" s="4">
        <v>1</v>
      </c>
      <c r="S9" s="4">
        <v>0</v>
      </c>
      <c r="T9" s="4">
        <v>1</v>
      </c>
      <c r="U9" s="4">
        <v>1</v>
      </c>
      <c r="V9" s="4">
        <v>14901</v>
      </c>
      <c r="W9" s="3"/>
    </row>
    <row r="10" s="1" customFormat="1" hidden="1" spans="1:23">
      <c r="A10" s="2" t="s">
        <v>30</v>
      </c>
      <c r="B10" s="2">
        <v>240</v>
      </c>
      <c r="C10" s="4">
        <v>1</v>
      </c>
      <c r="D10" s="4">
        <v>1</v>
      </c>
      <c r="E10" s="4">
        <v>0</v>
      </c>
      <c r="F10" s="4">
        <v>1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0</v>
      </c>
      <c r="O10" s="4">
        <v>0</v>
      </c>
      <c r="P10" s="4">
        <v>0</v>
      </c>
      <c r="Q10" s="4">
        <v>1</v>
      </c>
      <c r="R10" s="4">
        <v>1</v>
      </c>
      <c r="S10" s="4">
        <v>0</v>
      </c>
      <c r="T10" s="4">
        <v>0</v>
      </c>
      <c r="U10" s="4">
        <v>1</v>
      </c>
      <c r="V10" s="4">
        <v>12901</v>
      </c>
      <c r="W10" s="3"/>
    </row>
    <row r="11" s="1" customFormat="1" spans="1:23">
      <c r="A11" s="2" t="s">
        <v>22</v>
      </c>
      <c r="B11" s="2">
        <v>40</v>
      </c>
      <c r="C11" s="4">
        <v>1</v>
      </c>
      <c r="D11" s="4">
        <v>0</v>
      </c>
      <c r="E11" s="4">
        <v>1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0</v>
      </c>
      <c r="T11" s="4">
        <v>1</v>
      </c>
      <c r="U11" s="4">
        <v>1</v>
      </c>
      <c r="V11" s="4">
        <v>14401</v>
      </c>
      <c r="W11" s="3">
        <f>IF(V11&lt;10500,1,0)</f>
        <v>0</v>
      </c>
    </row>
    <row r="12" s="2" customFormat="1" hidden="1" spans="1:23">
      <c r="A12" s="2" t="s">
        <v>23</v>
      </c>
      <c r="B12" s="2">
        <v>675</v>
      </c>
      <c r="C12" s="4">
        <v>1</v>
      </c>
      <c r="D12" s="4">
        <v>0</v>
      </c>
      <c r="E12" s="4">
        <v>0</v>
      </c>
      <c r="F12" s="4">
        <v>1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  <c r="P12" s="4">
        <v>1</v>
      </c>
      <c r="Q12" s="4">
        <v>0</v>
      </c>
      <c r="R12" s="4">
        <v>1</v>
      </c>
      <c r="S12" s="4">
        <v>1</v>
      </c>
      <c r="T12" s="4">
        <v>1</v>
      </c>
      <c r="U12" s="4">
        <v>0</v>
      </c>
      <c r="V12" s="4">
        <v>11901</v>
      </c>
      <c r="W12" s="3"/>
    </row>
    <row r="13" s="2" customFormat="1" hidden="1" spans="1:23">
      <c r="A13" s="2" t="s">
        <v>24</v>
      </c>
      <c r="B13" s="2">
        <v>565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0</v>
      </c>
      <c r="I13" s="4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0</v>
      </c>
      <c r="R13" s="4">
        <v>1</v>
      </c>
      <c r="S13" s="4">
        <v>1</v>
      </c>
      <c r="T13" s="4">
        <v>0</v>
      </c>
      <c r="U13" s="4">
        <v>0</v>
      </c>
      <c r="V13" s="4">
        <v>15401</v>
      </c>
      <c r="W13" s="3"/>
    </row>
    <row r="14" s="2" customFormat="1" hidden="1" spans="1:23">
      <c r="A14" s="2" t="s">
        <v>25</v>
      </c>
      <c r="B14" s="2">
        <v>120</v>
      </c>
      <c r="C14" s="4">
        <v>1</v>
      </c>
      <c r="D14" s="4">
        <v>1</v>
      </c>
      <c r="E14" s="4">
        <v>1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</v>
      </c>
      <c r="N14" s="4">
        <v>1</v>
      </c>
      <c r="O14" s="4">
        <v>0</v>
      </c>
      <c r="P14" s="4">
        <v>1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12401</v>
      </c>
      <c r="W14" s="3"/>
    </row>
    <row r="15" s="2" customFormat="1" spans="1:23">
      <c r="A15" s="2" t="s">
        <v>26</v>
      </c>
      <c r="B15" s="2">
        <v>715</v>
      </c>
      <c r="C15" s="4">
        <v>1</v>
      </c>
      <c r="D15" s="4">
        <v>0</v>
      </c>
      <c r="E15" s="4">
        <v>0</v>
      </c>
      <c r="F15" s="4">
        <v>0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1</v>
      </c>
      <c r="N15" s="4">
        <v>0</v>
      </c>
      <c r="O15" s="4">
        <v>1</v>
      </c>
      <c r="P15" s="4">
        <v>0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12901</v>
      </c>
      <c r="W15" s="3">
        <f>IF(V15&lt;10500,1,0)</f>
        <v>0</v>
      </c>
    </row>
    <row r="16" s="2" customFormat="1" spans="1:23">
      <c r="A16" s="2" t="s">
        <v>27</v>
      </c>
      <c r="B16" s="2">
        <v>745</v>
      </c>
      <c r="C16" s="4">
        <v>1</v>
      </c>
      <c r="D16" s="4">
        <v>0</v>
      </c>
      <c r="E16" s="4">
        <v>0</v>
      </c>
      <c r="F16" s="4">
        <v>1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1</v>
      </c>
      <c r="P16" s="4">
        <v>1</v>
      </c>
      <c r="Q16" s="4">
        <v>0</v>
      </c>
      <c r="R16" s="4">
        <v>1</v>
      </c>
      <c r="S16" s="4">
        <v>1</v>
      </c>
      <c r="T16" s="4">
        <v>0</v>
      </c>
      <c r="U16" s="4">
        <v>1</v>
      </c>
      <c r="V16" s="4">
        <v>12401</v>
      </c>
      <c r="W16" s="3">
        <f>IF(V16&lt;10500,1,0)</f>
        <v>0</v>
      </c>
    </row>
    <row r="17" s="2" customFormat="1" hidden="1" spans="1:23">
      <c r="A17" s="2" t="s">
        <v>22</v>
      </c>
      <c r="B17" s="2">
        <v>-4235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4">
        <v>0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9401</v>
      </c>
      <c r="W17" s="3"/>
    </row>
    <row r="18" s="2" customFormat="1" hidden="1" spans="1:23">
      <c r="A18" s="2" t="s">
        <v>23</v>
      </c>
      <c r="B18" s="2">
        <v>165</v>
      </c>
      <c r="C18" s="4">
        <v>1</v>
      </c>
      <c r="D18" s="4">
        <v>1</v>
      </c>
      <c r="E18" s="4">
        <v>1</v>
      </c>
      <c r="F18" s="4">
        <v>1</v>
      </c>
      <c r="G18" s="4">
        <v>0</v>
      </c>
      <c r="H18" s="4">
        <v>1</v>
      </c>
      <c r="I18" s="4">
        <v>1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4">
        <v>1</v>
      </c>
      <c r="U18" s="4">
        <v>0</v>
      </c>
      <c r="V18" s="4">
        <v>14901</v>
      </c>
      <c r="W18" s="3"/>
    </row>
    <row r="19" s="2" customFormat="1" spans="1:23">
      <c r="A19" s="2" t="s">
        <v>24</v>
      </c>
      <c r="B19" s="2">
        <v>65</v>
      </c>
      <c r="C19" s="4">
        <v>1</v>
      </c>
      <c r="D19" s="4">
        <v>1</v>
      </c>
      <c r="E19" s="4">
        <v>1</v>
      </c>
      <c r="F19" s="4">
        <v>1</v>
      </c>
      <c r="G19" s="4">
        <v>0</v>
      </c>
      <c r="H19" s="4">
        <v>1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1</v>
      </c>
      <c r="P19" s="4">
        <v>1</v>
      </c>
      <c r="Q19" s="4">
        <v>0</v>
      </c>
      <c r="R19" s="4">
        <v>1</v>
      </c>
      <c r="S19" s="4">
        <v>1</v>
      </c>
      <c r="T19" s="4">
        <v>0</v>
      </c>
      <c r="U19" s="4">
        <v>0</v>
      </c>
      <c r="V19" s="4">
        <v>15901</v>
      </c>
      <c r="W19" s="3">
        <f>IF(V19&lt;10500,1,0)</f>
        <v>0</v>
      </c>
    </row>
    <row r="20" s="2" customFormat="1" hidden="1" spans="1:23">
      <c r="A20" s="2" t="s">
        <v>25</v>
      </c>
      <c r="B20" s="2">
        <v>-500</v>
      </c>
      <c r="C20" s="4">
        <v>0</v>
      </c>
      <c r="D20" s="4">
        <v>0</v>
      </c>
      <c r="E20" s="4">
        <v>0</v>
      </c>
      <c r="F20" s="4">
        <v>1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>
        <v>1</v>
      </c>
      <c r="N20" s="4">
        <v>1</v>
      </c>
      <c r="O20" s="4">
        <v>0</v>
      </c>
      <c r="P20" s="4">
        <v>1</v>
      </c>
      <c r="Q20" s="4">
        <v>1</v>
      </c>
      <c r="R20" s="4">
        <v>1</v>
      </c>
      <c r="S20" s="4">
        <v>0</v>
      </c>
      <c r="T20" s="4">
        <v>0</v>
      </c>
      <c r="U20" s="4">
        <v>1</v>
      </c>
      <c r="V20" s="4">
        <v>9401</v>
      </c>
      <c r="W20" s="3"/>
    </row>
    <row r="21" s="2" customFormat="1" hidden="1" spans="1:23">
      <c r="A21" s="2" t="s">
        <v>26</v>
      </c>
      <c r="B21" s="2">
        <v>510</v>
      </c>
      <c r="C21" s="4">
        <v>1</v>
      </c>
      <c r="D21" s="4">
        <v>1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1</v>
      </c>
      <c r="Q21" s="4">
        <v>0</v>
      </c>
      <c r="R21" s="4">
        <v>1</v>
      </c>
      <c r="S21" s="4">
        <v>0</v>
      </c>
      <c r="T21" s="4">
        <v>1</v>
      </c>
      <c r="U21" s="4">
        <v>1</v>
      </c>
      <c r="V21" s="4">
        <v>9901</v>
      </c>
      <c r="W21" s="3"/>
    </row>
    <row r="22" s="2" customFormat="1" hidden="1" spans="1:23">
      <c r="A22" s="2" t="s">
        <v>22</v>
      </c>
      <c r="B22" s="2">
        <v>-465</v>
      </c>
      <c r="C22" s="4">
        <v>1</v>
      </c>
      <c r="D22" s="4">
        <v>1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0</v>
      </c>
      <c r="P22" s="4">
        <v>1</v>
      </c>
      <c r="Q22" s="4">
        <v>1</v>
      </c>
      <c r="R22" s="4">
        <v>0</v>
      </c>
      <c r="S22" s="4">
        <v>1</v>
      </c>
      <c r="T22" s="4">
        <v>0</v>
      </c>
      <c r="U22" s="4">
        <v>1</v>
      </c>
      <c r="V22" s="4">
        <v>9901</v>
      </c>
      <c r="W22" s="3"/>
    </row>
    <row r="23" s="2" customFormat="1" spans="1:23">
      <c r="A23" s="2" t="s">
        <v>23</v>
      </c>
      <c r="B23" s="2">
        <v>125</v>
      </c>
      <c r="C23" s="4">
        <v>1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9901</v>
      </c>
      <c r="W23" s="3">
        <f>IF(V23&lt;10500,1,0)</f>
        <v>1</v>
      </c>
    </row>
    <row r="24" s="2" customFormat="1" hidden="1" spans="1:23">
      <c r="A24" s="2" t="s">
        <v>24</v>
      </c>
      <c r="B24" s="2">
        <v>-150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1</v>
      </c>
      <c r="J24" s="4">
        <v>0</v>
      </c>
      <c r="K24" s="4">
        <v>0</v>
      </c>
      <c r="L24" s="4">
        <v>0</v>
      </c>
      <c r="M24" s="4">
        <v>1</v>
      </c>
      <c r="N24" s="4">
        <v>1</v>
      </c>
      <c r="O24" s="4">
        <v>0</v>
      </c>
      <c r="P24" s="4">
        <v>1</v>
      </c>
      <c r="Q24" s="4">
        <v>1</v>
      </c>
      <c r="R24" s="4">
        <v>0</v>
      </c>
      <c r="S24" s="4">
        <v>1</v>
      </c>
      <c r="T24" s="4">
        <v>0</v>
      </c>
      <c r="U24" s="4">
        <v>0</v>
      </c>
      <c r="V24" s="4">
        <v>9901</v>
      </c>
      <c r="W24" s="3"/>
    </row>
    <row r="25" s="2" customFormat="1" hidden="1" spans="1:23">
      <c r="A25" s="2" t="s">
        <v>22</v>
      </c>
      <c r="B25" s="2">
        <v>720</v>
      </c>
      <c r="C25" s="4">
        <v>1</v>
      </c>
      <c r="D25" s="4">
        <v>1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1</v>
      </c>
      <c r="Q25" s="4">
        <v>1</v>
      </c>
      <c r="R25" s="4">
        <v>1</v>
      </c>
      <c r="S25" s="4">
        <v>0</v>
      </c>
      <c r="T25" s="4">
        <v>1</v>
      </c>
      <c r="U25" s="4">
        <v>0</v>
      </c>
      <c r="V25" s="4">
        <v>8901</v>
      </c>
      <c r="W25" s="3"/>
    </row>
    <row r="26" s="2" customFormat="1" spans="1:23">
      <c r="A26" s="2" t="s">
        <v>23</v>
      </c>
      <c r="B26" s="2">
        <v>600</v>
      </c>
      <c r="C26" s="4">
        <v>1</v>
      </c>
      <c r="D26" s="4">
        <v>1</v>
      </c>
      <c r="E26" s="4">
        <v>0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</v>
      </c>
      <c r="N26" s="4">
        <v>0</v>
      </c>
      <c r="O26" s="4">
        <v>1</v>
      </c>
      <c r="P26" s="4">
        <v>1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4">
        <v>9401</v>
      </c>
      <c r="W26" s="3">
        <f>IF(V26&lt;10500,1,0)</f>
        <v>1</v>
      </c>
    </row>
    <row r="27" s="2" customFormat="1" hidden="1" spans="1:23">
      <c r="A27" s="2" t="s">
        <v>22</v>
      </c>
      <c r="B27" s="2">
        <v>-425</v>
      </c>
      <c r="C27" s="4">
        <v>1</v>
      </c>
      <c r="D27" s="4">
        <v>1</v>
      </c>
      <c r="E27" s="4">
        <v>0</v>
      </c>
      <c r="F27" s="4">
        <v>0</v>
      </c>
      <c r="G27" s="4">
        <v>0</v>
      </c>
      <c r="H27" s="4">
        <v>1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</v>
      </c>
      <c r="R27" s="4">
        <v>1</v>
      </c>
      <c r="S27" s="4">
        <v>1</v>
      </c>
      <c r="T27" s="4">
        <v>0</v>
      </c>
      <c r="U27" s="4">
        <v>1</v>
      </c>
      <c r="V27" s="4">
        <v>9901</v>
      </c>
      <c r="W27" s="3"/>
    </row>
    <row r="28" s="2" customFormat="1" spans="1:23">
      <c r="A28" s="2" t="s">
        <v>23</v>
      </c>
      <c r="B28" s="2">
        <v>570</v>
      </c>
      <c r="C28" s="4">
        <v>1</v>
      </c>
      <c r="D28" s="4">
        <v>0</v>
      </c>
      <c r="E28" s="4">
        <v>1</v>
      </c>
      <c r="F28" s="4">
        <v>0</v>
      </c>
      <c r="G28" s="4">
        <v>1</v>
      </c>
      <c r="H28" s="4">
        <v>1</v>
      </c>
      <c r="I28" s="4">
        <v>1</v>
      </c>
      <c r="J28" s="4">
        <v>0</v>
      </c>
      <c r="K28" s="4">
        <v>0</v>
      </c>
      <c r="L28" s="4">
        <v>0</v>
      </c>
      <c r="M28" s="4">
        <v>1</v>
      </c>
      <c r="N28" s="4">
        <v>0</v>
      </c>
      <c r="O28" s="4">
        <v>1</v>
      </c>
      <c r="P28" s="4">
        <v>0</v>
      </c>
      <c r="Q28" s="4">
        <v>1</v>
      </c>
      <c r="R28" s="4">
        <v>1</v>
      </c>
      <c r="S28" s="4">
        <v>0</v>
      </c>
      <c r="T28" s="4">
        <v>0</v>
      </c>
      <c r="U28" s="4">
        <v>0</v>
      </c>
      <c r="V28" s="4">
        <v>13901</v>
      </c>
      <c r="W28" s="3">
        <f>IF(V28&lt;10500,1,0)</f>
        <v>0</v>
      </c>
    </row>
    <row r="29" s="2" customFormat="1" hidden="1" spans="1:23">
      <c r="A29" s="2" t="s">
        <v>24</v>
      </c>
      <c r="B29" s="2">
        <v>95</v>
      </c>
      <c r="C29" s="4">
        <v>1</v>
      </c>
      <c r="D29" s="4">
        <v>1</v>
      </c>
      <c r="E29" s="4">
        <v>0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0</v>
      </c>
      <c r="L29" s="4">
        <v>0</v>
      </c>
      <c r="M29" s="4">
        <v>0</v>
      </c>
      <c r="N29" s="4">
        <v>1</v>
      </c>
      <c r="O29" s="4">
        <v>0</v>
      </c>
      <c r="P29" s="4">
        <v>0</v>
      </c>
      <c r="Q29" s="4">
        <v>1</v>
      </c>
      <c r="R29" s="4">
        <v>0</v>
      </c>
      <c r="S29" s="4">
        <v>1</v>
      </c>
      <c r="T29" s="4">
        <v>1</v>
      </c>
      <c r="U29" s="4">
        <v>0</v>
      </c>
      <c r="V29" s="4">
        <v>10401</v>
      </c>
      <c r="W29" s="3"/>
    </row>
    <row r="30" s="2" customFormat="1" hidden="1" spans="1:23">
      <c r="A30" s="2" t="s">
        <v>22</v>
      </c>
      <c r="B30" s="2">
        <v>180</v>
      </c>
      <c r="C30" s="4">
        <v>1</v>
      </c>
      <c r="D30" s="4">
        <v>0</v>
      </c>
      <c r="E30" s="4">
        <v>0</v>
      </c>
      <c r="F30" s="4">
        <v>1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0</v>
      </c>
      <c r="P30" s="4">
        <v>1</v>
      </c>
      <c r="Q30" s="4">
        <v>1</v>
      </c>
      <c r="R30" s="4">
        <v>1</v>
      </c>
      <c r="S30" s="4">
        <v>0</v>
      </c>
      <c r="T30" s="4">
        <v>1</v>
      </c>
      <c r="U30" s="4">
        <v>0</v>
      </c>
      <c r="V30" s="4">
        <v>9901</v>
      </c>
      <c r="W30" s="3"/>
    </row>
    <row r="31" s="2" customFormat="1" hidden="1" spans="1:23">
      <c r="A31" s="2" t="s">
        <v>23</v>
      </c>
      <c r="B31" s="2">
        <v>190</v>
      </c>
      <c r="C31" s="4">
        <v>0</v>
      </c>
      <c r="D31" s="4">
        <v>1</v>
      </c>
      <c r="E31" s="4">
        <v>0</v>
      </c>
      <c r="F31" s="4">
        <v>1</v>
      </c>
      <c r="G31" s="4">
        <v>0</v>
      </c>
      <c r="H31" s="4">
        <v>1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10401</v>
      </c>
      <c r="W31" s="3"/>
    </row>
    <row r="32" s="2" customFormat="1" spans="1:23">
      <c r="A32" s="2" t="s">
        <v>24</v>
      </c>
      <c r="B32" s="2">
        <v>535</v>
      </c>
      <c r="C32" s="4">
        <v>1</v>
      </c>
      <c r="D32" s="4">
        <v>0</v>
      </c>
      <c r="E32" s="4">
        <v>0</v>
      </c>
      <c r="F32" s="4">
        <v>1</v>
      </c>
      <c r="G32" s="4">
        <v>1</v>
      </c>
      <c r="H32" s="4">
        <v>0</v>
      </c>
      <c r="I32" s="4">
        <v>1</v>
      </c>
      <c r="J32" s="4">
        <v>0</v>
      </c>
      <c r="K32" s="4">
        <v>0</v>
      </c>
      <c r="L32" s="4">
        <v>0</v>
      </c>
      <c r="M32" s="4">
        <v>1</v>
      </c>
      <c r="N32" s="4">
        <v>0</v>
      </c>
      <c r="O32" s="4">
        <v>1</v>
      </c>
      <c r="P32" s="4">
        <v>0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4">
        <v>9901</v>
      </c>
      <c r="W32" s="3">
        <f>IF(V32&lt;10500,1,0)</f>
        <v>1</v>
      </c>
    </row>
    <row r="33" s="2" customFormat="1" hidden="1" spans="1:23">
      <c r="A33" s="2" t="s">
        <v>22</v>
      </c>
      <c r="B33" s="2">
        <v>-280</v>
      </c>
      <c r="C33" s="4">
        <v>1</v>
      </c>
      <c r="D33" s="4">
        <v>1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1</v>
      </c>
      <c r="R33" s="4">
        <v>0</v>
      </c>
      <c r="S33" s="4">
        <v>1</v>
      </c>
      <c r="T33" s="4">
        <v>1</v>
      </c>
      <c r="U33" s="4">
        <v>1</v>
      </c>
      <c r="V33" s="4">
        <v>11401</v>
      </c>
      <c r="W33" s="3"/>
    </row>
    <row r="34" s="2" customFormat="1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="2" customFormat="1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="2" customFormat="1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记录备注</vt:lpstr>
      <vt:lpstr>额外阳光消耗</vt:lpstr>
      <vt:lpstr>模型参数</vt:lpstr>
      <vt:lpstr>折线对比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2025-02-03T01:50:00Z</dcterms:created>
  <dcterms:modified xsi:type="dcterms:W3CDTF">2026-01-26T15:09:50Z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2052-12.1.0.23542</vt:lpwstr>
  </property>
</Properties>
</file>