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100" activeTab="4"/>
  </bookViews>
  <sheets>
    <sheet name="汇总" sheetId="4" r:id="rId1"/>
    <sheet name="记录备注" sheetId="11" r:id="rId2"/>
    <sheet name="额外阳光消耗" sheetId="6" r:id="rId3"/>
    <sheet name="模型参数" sheetId="5" r:id="rId4"/>
    <sheet name="折线对比" sheetId="7" r:id="rId5"/>
    <sheet name="截图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<sst xmlns="http://schemas.openxmlformats.org/spreadsheetml/2006/main" count="215" uniqueCount="65">
  <si>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</si>
  <si>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</si>
  <si>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</si>
  <si>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</si>
  <si>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</si>
  <si>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</si>
  <si>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</si>
  <si>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</si>
  <si>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</si>
  <si>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</si>
  <si>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</si>
  <si>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</si>
  <si>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</si>
  <si>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</si>
  <si>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</si>
  <si>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</si>
  <si>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</si>
  <si>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</si>
  <si>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</si>
  <si>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</si>
  <si>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</si>
  <si>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</si>
  <si>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</si>
  <si>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</si>
  <si>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</si>
  <si>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</si>
  <si>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</si>
  <si>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</si>
  <si>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</si>
  <si>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</si>
  <si>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</si>
  <si>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阳光变化</t>
  </si>
  <si>
    <t>2000f</t>
  </si>
  <si>
    <t>/</t>
  </si>
  <si>
    <t>个数</t>
  </si>
  <si>
    <t>等价阳光</t>
  </si>
  <si>
    <t>曾损</t>
  </si>
  <si>
    <t>底线补</t>
  </si>
  <si>
    <t>底线南瓜</t>
  </si>
  <si>
    <t>底线总南瓜</t>
  </si>
  <si>
    <t>前场补</t>
  </si>
  <si>
    <t>前场南瓜</t>
  </si>
  <si>
    <t>前场总南瓜</t>
  </si>
  <si>
    <t>矿工样本比例</t>
  </si>
  <si>
    <t>矿工理论比例</t>
  </si>
  <si>
    <t>底线理论总南瓜</t>
  </si>
  <si>
    <t>总等价阳光</t>
  </si>
  <si>
    <t>均摊阳光</t>
  </si>
  <si>
    <t>场上等价阳光</t>
  </si>
  <si>
    <t>期望贡献</t>
  </si>
  <si>
    <t>Intercept</t>
  </si>
  <si>
    <t>密度</t>
  </si>
  <si>
    <t>橄榄:气球</t>
  </si>
  <si>
    <t>橄榄:撑杆</t>
  </si>
  <si>
    <t>p2</t>
  </si>
  <si>
    <t>p1</t>
  </si>
  <si>
    <t>p0</t>
  </si>
  <si>
    <t>p+</t>
  </si>
  <si>
    <t>p-</t>
  </si>
  <si>
    <t>p 高密度</t>
  </si>
  <si>
    <t>p 红：高</t>
  </si>
  <si>
    <t>TRUE dlt</t>
  </si>
  <si>
    <t>pred dlt</t>
  </si>
  <si>
    <t>pred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</si>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</sst>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5" borderId="18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2" borderId="0" xfId="0" applyNumberFormat="1" applyFill="1">
      <alignment vertical="center"/>
    </xf>
    <xf numFmtId="0" fontId="0" fillId="0" borderId="0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折线对比!$C$1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折线对比!$C$2:$C$34</c:f>
              <c:numCache>
                <c:formatCode>General</c:formatCode>
                <c:ptCount val="33"/>
                <c:pt idx="0">
                  <c:v>8000</c:v>
                </c:pt>
                <c:pt idx="1">
                  <c:v>8361.46</c:v>
                </c:pt>
                <c:pt idx="2">
                  <c:v>8622.92</c:v>
                </c:pt>
                <c:pt idx="3">
                  <c:v>8634.38</c:v>
                </c:pt>
                <c:pt idx="4">
                  <c:v>8545.84</c:v>
                </c:pt>
                <c:pt idx="5">
                  <c:v>8507.3</c:v>
                </c:pt>
                <c:pt idx="6">
                  <c:v>8968.75999999999</c:v>
                </c:pt>
                <c:pt idx="7">
                  <c:v>8405.21999999999</c:v>
                </c:pt>
                <c:pt idx="8">
                  <c:v>8066.67999999999</c:v>
                </c:pt>
                <c:pt idx="9">
                  <c:v>7878.13999999999</c:v>
                </c:pt>
                <c:pt idx="10">
                  <c:v>7814.59999999999</c:v>
                </c:pt>
                <c:pt idx="11">
                  <c:v>8276.05999999999</c:v>
                </c:pt>
                <c:pt idx="12">
                  <c:v>8737.51999999999</c:v>
                </c:pt>
                <c:pt idx="13">
                  <c:v>8573.97999999999</c:v>
                </c:pt>
                <c:pt idx="14">
                  <c:v>8810.43999999999</c:v>
                </c:pt>
                <c:pt idx="15">
                  <c:v>9346.89999999999</c:v>
                </c:pt>
                <c:pt idx="16">
                  <c:v>9108.35999999999</c:v>
                </c:pt>
                <c:pt idx="17">
                  <c:v>8844.81999999999</c:v>
                </c:pt>
                <c:pt idx="18">
                  <c:v>8556.27999999999</c:v>
                </c:pt>
                <c:pt idx="19">
                  <c:v>8167.73999999999</c:v>
                </c:pt>
                <c:pt idx="20">
                  <c:v>8629.19999999999</c:v>
                </c:pt>
                <c:pt idx="21">
                  <c:v>8315.65999999999</c:v>
                </c:pt>
                <c:pt idx="22">
                  <c:v>8202.11999999998</c:v>
                </c:pt>
                <c:pt idx="23">
                  <c:v>7663.57999999998</c:v>
                </c:pt>
                <c:pt idx="24">
                  <c:v>8425.03999999998</c:v>
                </c:pt>
                <c:pt idx="25">
                  <c:v>8186.49999999998</c:v>
                </c:pt>
                <c:pt idx="26">
                  <c:v>7672.95999999998</c:v>
                </c:pt>
                <c:pt idx="27">
                  <c:v>8034.41999999998</c:v>
                </c:pt>
                <c:pt idx="28">
                  <c:v>7745.87999999998</c:v>
                </c:pt>
                <c:pt idx="29">
                  <c:v>7407.33999999998</c:v>
                </c:pt>
                <c:pt idx="30">
                  <c:v>7318.79999999998</c:v>
                </c:pt>
                <c:pt idx="31">
                  <c:v>7505.25999999998</c:v>
                </c:pt>
                <c:pt idx="32">
                  <c:v>6991.71999999998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折线对比!$E$1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折线对比!$E$2:$E$34</c:f>
              <c:numCache>
                <c:formatCode>General</c:formatCode>
                <c:ptCount val="33"/>
                <c:pt idx="0">
                  <c:v>8000</c:v>
                </c:pt>
                <c:pt idx="1">
                  <c:v>8230.21</c:v>
                </c:pt>
                <c:pt idx="2">
                  <c:v>8444.795</c:v>
                </c:pt>
                <c:pt idx="3">
                  <c:v>8421.88</c:v>
                </c:pt>
                <c:pt idx="4">
                  <c:v>8213.0275</c:v>
                </c:pt>
                <c:pt idx="5">
                  <c:v>8179.175</c:v>
                </c:pt>
                <c:pt idx="6">
                  <c:v>8718.75999999999</c:v>
                </c:pt>
                <c:pt idx="7">
                  <c:v>8348.96999999999</c:v>
                </c:pt>
                <c:pt idx="8">
                  <c:v>7918.24249999999</c:v>
                </c:pt>
                <c:pt idx="9">
                  <c:v>7825.01499999999</c:v>
                </c:pt>
                <c:pt idx="10">
                  <c:v>7791.16249999999</c:v>
                </c:pt>
                <c:pt idx="11">
                  <c:v>8458.87249999999</c:v>
                </c:pt>
                <c:pt idx="12">
                  <c:v>8951.58249999999</c:v>
                </c:pt>
                <c:pt idx="13">
                  <c:v>8895.85499999999</c:v>
                </c:pt>
                <c:pt idx="14">
                  <c:v>9187.00249999999</c:v>
                </c:pt>
                <c:pt idx="15">
                  <c:v>9654.71249999999</c:v>
                </c:pt>
                <c:pt idx="16">
                  <c:v>9383.35999999999</c:v>
                </c:pt>
                <c:pt idx="17">
                  <c:v>9029.19499999999</c:v>
                </c:pt>
                <c:pt idx="18">
                  <c:v>8628.15499999999</c:v>
                </c:pt>
                <c:pt idx="19">
                  <c:v>8173.98999999999</c:v>
                </c:pt>
                <c:pt idx="20">
                  <c:v>8629.19999999999</c:v>
                </c:pt>
                <c:pt idx="21">
                  <c:v>8335.97249999999</c:v>
                </c:pt>
                <c:pt idx="22">
                  <c:v>8094.30749999999</c:v>
                </c:pt>
                <c:pt idx="23">
                  <c:v>7640.14249999999</c:v>
                </c:pt>
                <c:pt idx="24">
                  <c:v>8171.91499999999</c:v>
                </c:pt>
                <c:pt idx="25">
                  <c:v>7994.31249999999</c:v>
                </c:pt>
                <c:pt idx="26">
                  <c:v>7663.58499999999</c:v>
                </c:pt>
                <c:pt idx="27">
                  <c:v>7754.73249999999</c:v>
                </c:pt>
                <c:pt idx="28">
                  <c:v>7584.94249999999</c:v>
                </c:pt>
                <c:pt idx="29">
                  <c:v>7330.77749999999</c:v>
                </c:pt>
                <c:pt idx="30">
                  <c:v>7200.04999999999</c:v>
                </c:pt>
                <c:pt idx="31">
                  <c:v>7506.82249999999</c:v>
                </c:pt>
                <c:pt idx="32">
                  <c:v>6991.71999999999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2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2e6cd8-6d0b-4b3f-921b-64b113cfac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折线对比!$B$1</c:f>
              <c:strCache>
                <c:ptCount val="1"/>
                <c:pt idx="0">
                  <c:v>TRUE dlt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折线对比!$B$3:$B$34</c:f>
              <c:numCache>
                <c:formatCode>General</c:formatCode>
                <c:ptCount val="32"/>
                <c:pt idx="0">
                  <c:v>425</c:v>
                </c:pt>
                <c:pt idx="1">
                  <c:v>325</c:v>
                </c:pt>
                <c:pt idx="2">
                  <c:v>75</c:v>
                </c:pt>
                <c:pt idx="3">
                  <c:v>-25</c:v>
                </c:pt>
                <c:pt idx="4">
                  <c:v>25</c:v>
                </c:pt>
                <c:pt idx="5">
                  <c:v>525</c:v>
                </c:pt>
                <c:pt idx="6">
                  <c:v>-500</c:v>
                </c:pt>
                <c:pt idx="7">
                  <c:v>-275</c:v>
                </c:pt>
                <c:pt idx="8">
                  <c:v>-125</c:v>
                </c:pt>
                <c:pt idx="9">
                  <c:v>0</c:v>
                </c:pt>
                <c:pt idx="10">
                  <c:v>525</c:v>
                </c:pt>
                <c:pt idx="11">
                  <c:v>525</c:v>
                </c:pt>
                <c:pt idx="12">
                  <c:v>-100</c:v>
                </c:pt>
                <c:pt idx="13">
                  <c:v>300</c:v>
                </c:pt>
                <c:pt idx="14">
                  <c:v>600</c:v>
                </c:pt>
                <c:pt idx="15">
                  <c:v>-175</c:v>
                </c:pt>
                <c:pt idx="16">
                  <c:v>-200</c:v>
                </c:pt>
                <c:pt idx="17">
                  <c:v>-225</c:v>
                </c:pt>
                <c:pt idx="18">
                  <c:v>-325</c:v>
                </c:pt>
                <c:pt idx="19">
                  <c:v>525</c:v>
                </c:pt>
                <c:pt idx="20">
                  <c:v>-250</c:v>
                </c:pt>
                <c:pt idx="21">
                  <c:v>-50</c:v>
                </c:pt>
                <c:pt idx="22">
                  <c:v>-475</c:v>
                </c:pt>
                <c:pt idx="23">
                  <c:v>825</c:v>
                </c:pt>
                <c:pt idx="24">
                  <c:v>-175</c:v>
                </c:pt>
                <c:pt idx="25">
                  <c:v>-450</c:v>
                </c:pt>
                <c:pt idx="26">
                  <c:v>425</c:v>
                </c:pt>
                <c:pt idx="27">
                  <c:v>-225</c:v>
                </c:pt>
                <c:pt idx="28">
                  <c:v>-275</c:v>
                </c:pt>
                <c:pt idx="29">
                  <c:v>-25</c:v>
                </c:pt>
                <c:pt idx="30">
                  <c:v>250</c:v>
                </c:pt>
                <c:pt idx="31">
                  <c:v>-450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折线对比!$D$1</c:f>
              <c:strCache>
                <c:ptCount val="1"/>
                <c:pt idx="0">
                  <c:v>pred dlt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折线对比!$D$3:$D$34</c:f>
              <c:numCache>
                <c:formatCode>General</c:formatCode>
                <c:ptCount val="32"/>
                <c:pt idx="0">
                  <c:v>293.75</c:v>
                </c:pt>
                <c:pt idx="1">
                  <c:v>278.125</c:v>
                </c:pt>
                <c:pt idx="2">
                  <c:v>40.625</c:v>
                </c:pt>
                <c:pt idx="3">
                  <c:v>-145.3125</c:v>
                </c:pt>
                <c:pt idx="4">
                  <c:v>29.6875</c:v>
                </c:pt>
                <c:pt idx="5">
                  <c:v>603.124999999999</c:v>
                </c:pt>
                <c:pt idx="6">
                  <c:v>-306.25</c:v>
                </c:pt>
                <c:pt idx="7">
                  <c:v>-367.1875</c:v>
                </c:pt>
                <c:pt idx="8">
                  <c:v>-29.6874999999999</c:v>
                </c:pt>
                <c:pt idx="9">
                  <c:v>29.6875000000002</c:v>
                </c:pt>
                <c:pt idx="10">
                  <c:v>731.25</c:v>
                </c:pt>
                <c:pt idx="11">
                  <c:v>556.249999999999</c:v>
                </c:pt>
                <c:pt idx="12">
                  <c:v>7.8125</c:v>
                </c:pt>
                <c:pt idx="13">
                  <c:v>354.6875</c:v>
                </c:pt>
                <c:pt idx="14">
                  <c:v>531.25</c:v>
                </c:pt>
                <c:pt idx="15">
                  <c:v>-207.812499999999</c:v>
                </c:pt>
                <c:pt idx="16">
                  <c:v>-290.625</c:v>
                </c:pt>
                <c:pt idx="17">
                  <c:v>-337.5</c:v>
                </c:pt>
                <c:pt idx="18">
                  <c:v>-390.624999999999</c:v>
                </c:pt>
                <c:pt idx="19">
                  <c:v>518.749999999999</c:v>
                </c:pt>
                <c:pt idx="20">
                  <c:v>-229.687499999999</c:v>
                </c:pt>
                <c:pt idx="21">
                  <c:v>-178.124999999999</c:v>
                </c:pt>
                <c:pt idx="22">
                  <c:v>-390.624999999999</c:v>
                </c:pt>
                <c:pt idx="23">
                  <c:v>595.312499999999</c:v>
                </c:pt>
                <c:pt idx="24">
                  <c:v>-114.062499999999</c:v>
                </c:pt>
                <c:pt idx="25">
                  <c:v>-267.1875</c:v>
                </c:pt>
                <c:pt idx="26">
                  <c:v>154.6875</c:v>
                </c:pt>
                <c:pt idx="27">
                  <c:v>-106.25</c:v>
                </c:pt>
                <c:pt idx="28">
                  <c:v>-190.625</c:v>
                </c:pt>
                <c:pt idx="29">
                  <c:v>-67.1875000000001</c:v>
                </c:pt>
                <c:pt idx="30">
                  <c:v>370.3125</c:v>
                </c:pt>
                <c:pt idx="31">
                  <c:v>-451.5625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7801"/>
        <c:axId val="329794224"/>
      </c:scatterChart>
      <c:valAx>
        <c:axId val="42571780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94224"/>
        <c:crosses val="autoZero"/>
        <c:crossBetween val="midCat"/>
      </c:valAx>
      <c:valAx>
        <c:axId val="3297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71780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e697f6-af20-477c-a3a9-84be4ec8fe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143510</xdr:colOff>
      <xdr:row>1</xdr:row>
      <xdr:rowOff>64770</xdr:rowOff>
    </xdr:from>
    <xdr:to>
      <xdr:col>14</xdr:col>
      <xdr:colOff>85725</xdr:colOff>
      <xdr:row>18</xdr:row>
      <xdr:rowOff>92075</xdr:rowOff>
    </xdr:to>
    <xdr:graphicFrame>
      <xdr:nvGraphicFramePr>
        <xdr:cNvPr id="4" name="图表 3"/>
        <xdr:cNvGraphicFramePr/>
      </xdr:nvGraphicFramePr>
      <xdr:xfrm>
        <a:off x="4079875" y="278130"/>
        <a:ext cx="4697095" cy="3654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19</xdr:row>
      <xdr:rowOff>99060</xdr:rowOff>
    </xdr:from>
    <xdr:to>
      <xdr:col>14</xdr:col>
      <xdr:colOff>92710</xdr:colOff>
      <xdr:row>35</xdr:row>
      <xdr:rowOff>133350</xdr:rowOff>
    </xdr:to>
    <xdr:graphicFrame>
      <xdr:nvGraphicFramePr>
        <xdr:cNvPr id="2" name="图表 1"/>
        <xdr:cNvGraphicFramePr/>
      </xdr:nvGraphicFramePr>
      <xdr:xfrm>
        <a:off x="4100830" y="4152900"/>
        <a:ext cx="4683125" cy="3448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1:W33" totalsRowShown="0">
  <autoFilter xmlns:etc="http://www.wps.cn/officeDocument/2017/etCustomData" ref="A1:W33" etc:filterBottomFollowUsedRange="0">
    <filterColumn colId="14">
      <customFilters>
        <customFilter operator="equal" val="1"/>
      </customFilters>
    </filterColumn>
  </autoFilter>
  <tableColumns count="23">
    <tableColumn id="1" name="flag" dataDxfId="0"/>
    <tableColumn id="2" name="Y" dataDxfId="1"/>
    <tableColumn id="3" name="路障" dataDxfId="2"/>
    <tableColumn id="4" name="撑杆" dataDxfId="3"/>
    <tableColumn id="5" name="铁桶" dataDxfId="4"/>
    <tableColumn id="6" name="读报" dataDxfId="5"/>
    <tableColumn id="7" name="铁门" dataDxfId="6"/>
    <tableColumn id="8" name="橄榄" dataDxfId="7"/>
    <tableColumn id="9" name="舞王" dataDxfId="8"/>
    <tableColumn id="10" name="潜水" dataDxfId="9"/>
    <tableColumn id="11" name="冰车" dataDxfId="10"/>
    <tableColumn id="12" name="海豚" dataDxfId="11"/>
    <tableColumn id="13" name="小丑" dataDxfId="12"/>
    <tableColumn id="14" name="气球" dataDxfId="13"/>
    <tableColumn id="15" name="矿工" dataDxfId="14"/>
    <tableColumn id="16" name="跳跳" dataDxfId="15"/>
    <tableColumn id="17" name="蹦极" dataDxfId="16"/>
    <tableColumn id="18" name="扶梯" dataDxfId="17"/>
    <tableColumn id="19" name="投篮" dataDxfId="18"/>
    <tableColumn id="20" name="白眼" dataDxfId="19"/>
    <tableColumn id="21" name="红眼" dataDxfId="20"/>
    <tableColumn id="22" name="权重和" dataDxfId="21"/>
    <tableColumn id="23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3"/>
  <sheetViews>
    <sheetView zoomScale="119" zoomScaleNormal="119" workbookViewId="0">
      <selection activeCell="B2" sqref="B2:B33"/>
    </sheetView>
  </sheetViews>
  <sheetFormatPr defaultColWidth="9" defaultRowHeight="16.8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6384" width="9" style="3"/>
  </cols>
  <sheetData>
    <row r="1" spans="1:22">
      <c r="A1" s="2" t="s">
        <v>0</v>
      </c>
      <c r="B1" s="2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</row>
    <row r="2" spans="1:22">
      <c r="A2" s="2" t="s">
        <v>22</v>
      </c>
      <c r="B2" s="2">
        <v>425</v>
      </c>
      <c r="C2" s="27">
        <v>1</v>
      </c>
      <c r="D2" s="27">
        <v>0</v>
      </c>
      <c r="E2" s="27">
        <v>1</v>
      </c>
      <c r="F2" s="27">
        <v>0</v>
      </c>
      <c r="G2" s="27">
        <v>0</v>
      </c>
      <c r="H2" s="27">
        <v>0</v>
      </c>
      <c r="I2" s="27">
        <v>1</v>
      </c>
      <c r="J2" s="27">
        <v>0</v>
      </c>
      <c r="K2" s="27">
        <v>0</v>
      </c>
      <c r="L2" s="27">
        <v>0</v>
      </c>
      <c r="M2" s="27">
        <v>1</v>
      </c>
      <c r="N2" s="27">
        <v>0</v>
      </c>
      <c r="O2" s="27">
        <v>1</v>
      </c>
      <c r="P2" s="27">
        <v>0</v>
      </c>
      <c r="Q2" s="27">
        <v>1</v>
      </c>
      <c r="R2" s="27">
        <v>1</v>
      </c>
      <c r="S2" s="27">
        <v>0</v>
      </c>
      <c r="T2" s="27">
        <v>0</v>
      </c>
      <c r="U2" s="27">
        <v>1</v>
      </c>
      <c r="V2" s="27">
        <v>9401</v>
      </c>
    </row>
    <row r="3" spans="1:22">
      <c r="A3" s="2" t="s">
        <v>23</v>
      </c>
      <c r="B3" s="2">
        <v>325</v>
      </c>
      <c r="C3" s="27">
        <v>1</v>
      </c>
      <c r="D3" s="27">
        <v>0</v>
      </c>
      <c r="E3" s="27">
        <v>1</v>
      </c>
      <c r="F3" s="27">
        <v>0</v>
      </c>
      <c r="G3" s="27">
        <v>1</v>
      </c>
      <c r="H3" s="27">
        <v>1</v>
      </c>
      <c r="I3" s="27">
        <v>0</v>
      </c>
      <c r="J3" s="27">
        <v>0</v>
      </c>
      <c r="K3" s="27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7">
        <v>1</v>
      </c>
      <c r="R3" s="27">
        <v>1</v>
      </c>
      <c r="S3" s="27">
        <v>1</v>
      </c>
      <c r="T3" s="27">
        <v>1</v>
      </c>
      <c r="U3" s="27">
        <v>1</v>
      </c>
      <c r="V3" s="27">
        <v>14901</v>
      </c>
    </row>
    <row r="4" spans="1:22">
      <c r="A4" s="2" t="s">
        <v>24</v>
      </c>
      <c r="B4" s="2">
        <v>75</v>
      </c>
      <c r="C4" s="27">
        <v>1</v>
      </c>
      <c r="D4" s="27">
        <v>0</v>
      </c>
      <c r="E4" s="27">
        <v>0</v>
      </c>
      <c r="F4" s="27">
        <v>1</v>
      </c>
      <c r="G4" s="27">
        <v>0</v>
      </c>
      <c r="H4" s="27">
        <v>1</v>
      </c>
      <c r="I4" s="27">
        <v>1</v>
      </c>
      <c r="J4" s="27">
        <v>0</v>
      </c>
      <c r="K4" s="27">
        <v>0</v>
      </c>
      <c r="L4" s="27">
        <v>0</v>
      </c>
      <c r="M4" s="27">
        <v>1</v>
      </c>
      <c r="N4" s="27">
        <v>0</v>
      </c>
      <c r="O4" s="27">
        <v>0</v>
      </c>
      <c r="P4" s="27">
        <v>0</v>
      </c>
      <c r="Q4" s="27">
        <v>0</v>
      </c>
      <c r="R4" s="27">
        <v>1</v>
      </c>
      <c r="S4" s="27">
        <v>0</v>
      </c>
      <c r="T4" s="27">
        <v>1</v>
      </c>
      <c r="U4" s="27">
        <v>1</v>
      </c>
      <c r="V4" s="27">
        <v>9901</v>
      </c>
    </row>
    <row r="5" spans="1:22">
      <c r="A5" s="2" t="s">
        <v>25</v>
      </c>
      <c r="B5" s="2">
        <v>-25</v>
      </c>
      <c r="C5" s="27">
        <v>1</v>
      </c>
      <c r="D5" s="27">
        <v>1</v>
      </c>
      <c r="E5" s="27">
        <v>0</v>
      </c>
      <c r="F5" s="27">
        <v>1</v>
      </c>
      <c r="G5" s="27">
        <v>1</v>
      </c>
      <c r="H5" s="27">
        <v>0</v>
      </c>
      <c r="I5" s="27">
        <v>1</v>
      </c>
      <c r="J5" s="27">
        <v>0</v>
      </c>
      <c r="K5" s="27">
        <v>0</v>
      </c>
      <c r="L5" s="27">
        <v>0</v>
      </c>
      <c r="M5" s="27">
        <v>1</v>
      </c>
      <c r="N5" s="27">
        <v>1</v>
      </c>
      <c r="O5" s="27">
        <v>1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1</v>
      </c>
      <c r="V5" s="27">
        <v>13901</v>
      </c>
    </row>
    <row r="6" spans="1:22">
      <c r="A6" s="2" t="s">
        <v>26</v>
      </c>
      <c r="B6" s="2">
        <v>25</v>
      </c>
      <c r="C6" s="27">
        <v>1</v>
      </c>
      <c r="D6" s="27">
        <v>0</v>
      </c>
      <c r="E6" s="27">
        <v>1</v>
      </c>
      <c r="F6" s="27">
        <v>1</v>
      </c>
      <c r="G6" s="27">
        <v>0</v>
      </c>
      <c r="H6" s="27">
        <v>0</v>
      </c>
      <c r="I6" s="27">
        <v>1</v>
      </c>
      <c r="J6" s="27">
        <v>0</v>
      </c>
      <c r="K6" s="27">
        <v>0</v>
      </c>
      <c r="L6" s="27">
        <v>0</v>
      </c>
      <c r="M6" s="27">
        <v>1</v>
      </c>
      <c r="N6" s="27">
        <v>1</v>
      </c>
      <c r="O6" s="27">
        <v>1</v>
      </c>
      <c r="P6" s="27">
        <v>1</v>
      </c>
      <c r="Q6" s="27">
        <v>0</v>
      </c>
      <c r="R6" s="27">
        <v>0</v>
      </c>
      <c r="S6" s="27">
        <v>0</v>
      </c>
      <c r="T6" s="27">
        <v>1</v>
      </c>
      <c r="U6" s="27">
        <v>0</v>
      </c>
      <c r="V6" s="27">
        <v>12901</v>
      </c>
    </row>
    <row r="7" spans="1:22">
      <c r="A7" s="2" t="s">
        <v>27</v>
      </c>
      <c r="B7" s="2">
        <v>525</v>
      </c>
      <c r="C7" s="27">
        <v>1</v>
      </c>
      <c r="D7" s="27">
        <v>1</v>
      </c>
      <c r="E7" s="27">
        <v>0</v>
      </c>
      <c r="F7" s="27">
        <v>1</v>
      </c>
      <c r="G7" s="27">
        <v>1</v>
      </c>
      <c r="H7" s="27">
        <v>0</v>
      </c>
      <c r="I7" s="27">
        <v>1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1</v>
      </c>
      <c r="R7" s="27">
        <v>0</v>
      </c>
      <c r="S7" s="27">
        <v>1</v>
      </c>
      <c r="T7" s="27">
        <v>1</v>
      </c>
      <c r="U7" s="27">
        <v>1</v>
      </c>
      <c r="V7" s="27">
        <v>12901</v>
      </c>
    </row>
    <row r="8" spans="1:22">
      <c r="A8" s="2" t="s">
        <v>28</v>
      </c>
      <c r="B8" s="2">
        <v>-500</v>
      </c>
      <c r="C8" s="27">
        <v>1</v>
      </c>
      <c r="D8" s="27">
        <v>0</v>
      </c>
      <c r="E8" s="27">
        <v>0</v>
      </c>
      <c r="F8" s="27">
        <v>0</v>
      </c>
      <c r="G8" s="27">
        <v>0</v>
      </c>
      <c r="H8" s="27">
        <v>1</v>
      </c>
      <c r="I8" s="27">
        <v>1</v>
      </c>
      <c r="J8" s="27">
        <v>0</v>
      </c>
      <c r="K8" s="27">
        <v>0</v>
      </c>
      <c r="L8" s="27">
        <v>0</v>
      </c>
      <c r="M8" s="27">
        <v>1</v>
      </c>
      <c r="N8" s="27">
        <v>1</v>
      </c>
      <c r="O8" s="27">
        <v>1</v>
      </c>
      <c r="P8" s="27">
        <v>0</v>
      </c>
      <c r="Q8" s="27">
        <v>0</v>
      </c>
      <c r="R8" s="27">
        <v>1</v>
      </c>
      <c r="S8" s="27">
        <v>1</v>
      </c>
      <c r="T8" s="27">
        <v>0</v>
      </c>
      <c r="U8" s="27">
        <v>1</v>
      </c>
      <c r="V8" s="27">
        <v>11901</v>
      </c>
    </row>
    <row r="9" spans="1:22">
      <c r="A9" s="2" t="s">
        <v>29</v>
      </c>
      <c r="B9" s="2">
        <v>-275</v>
      </c>
      <c r="C9" s="27">
        <v>1</v>
      </c>
      <c r="D9" s="27">
        <v>1</v>
      </c>
      <c r="E9" s="27">
        <v>1</v>
      </c>
      <c r="F9" s="27">
        <v>0</v>
      </c>
      <c r="G9" s="27">
        <v>0</v>
      </c>
      <c r="H9" s="27">
        <v>1</v>
      </c>
      <c r="I9" s="27">
        <v>1</v>
      </c>
      <c r="J9" s="27">
        <v>0</v>
      </c>
      <c r="K9" s="27">
        <v>0</v>
      </c>
      <c r="L9" s="27">
        <v>0</v>
      </c>
      <c r="M9" s="27">
        <v>0</v>
      </c>
      <c r="N9" s="27">
        <v>1</v>
      </c>
      <c r="O9" s="27">
        <v>0</v>
      </c>
      <c r="P9" s="27">
        <v>0</v>
      </c>
      <c r="Q9" s="27">
        <v>1</v>
      </c>
      <c r="R9" s="27">
        <v>1</v>
      </c>
      <c r="S9" s="27">
        <v>0</v>
      </c>
      <c r="T9" s="27">
        <v>1</v>
      </c>
      <c r="U9" s="27">
        <v>1</v>
      </c>
      <c r="V9" s="27">
        <v>14901</v>
      </c>
    </row>
    <row r="10" spans="1:22">
      <c r="A10" s="2" t="s">
        <v>30</v>
      </c>
      <c r="B10" s="2">
        <v>-125</v>
      </c>
      <c r="C10" s="27">
        <v>1</v>
      </c>
      <c r="D10" s="27">
        <v>1</v>
      </c>
      <c r="E10" s="27">
        <v>0</v>
      </c>
      <c r="F10" s="27">
        <v>1</v>
      </c>
      <c r="G10" s="27">
        <v>1</v>
      </c>
      <c r="H10" s="27">
        <v>1</v>
      </c>
      <c r="I10" s="27">
        <v>0</v>
      </c>
      <c r="J10" s="27">
        <v>0</v>
      </c>
      <c r="K10" s="27">
        <v>0</v>
      </c>
      <c r="L10" s="27">
        <v>0</v>
      </c>
      <c r="M10" s="27">
        <v>1</v>
      </c>
      <c r="N10" s="27">
        <v>0</v>
      </c>
      <c r="O10" s="27">
        <v>0</v>
      </c>
      <c r="P10" s="27">
        <v>0</v>
      </c>
      <c r="Q10" s="27">
        <v>1</v>
      </c>
      <c r="R10" s="27">
        <v>1</v>
      </c>
      <c r="S10" s="27">
        <v>0</v>
      </c>
      <c r="T10" s="27">
        <v>0</v>
      </c>
      <c r="U10" s="27">
        <v>1</v>
      </c>
      <c r="V10" s="27">
        <v>12901</v>
      </c>
    </row>
    <row r="11" spans="1:22">
      <c r="A11" s="2" t="s">
        <v>22</v>
      </c>
      <c r="B11" s="2">
        <v>0</v>
      </c>
      <c r="C11" s="27">
        <v>1</v>
      </c>
      <c r="D11" s="27">
        <v>0</v>
      </c>
      <c r="E11" s="27">
        <v>1</v>
      </c>
      <c r="F11" s="27">
        <v>0</v>
      </c>
      <c r="G11" s="27">
        <v>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1</v>
      </c>
      <c r="O11" s="27">
        <v>1</v>
      </c>
      <c r="P11" s="27">
        <v>0</v>
      </c>
      <c r="Q11" s="27">
        <v>0</v>
      </c>
      <c r="R11" s="27">
        <v>1</v>
      </c>
      <c r="S11" s="27">
        <v>0</v>
      </c>
      <c r="T11" s="27">
        <v>1</v>
      </c>
      <c r="U11" s="27">
        <v>1</v>
      </c>
      <c r="V11" s="27">
        <v>14401</v>
      </c>
    </row>
    <row r="12" spans="1:22">
      <c r="A12" s="2" t="s">
        <v>23</v>
      </c>
      <c r="B12" s="2">
        <v>525</v>
      </c>
      <c r="C12" s="27">
        <v>1</v>
      </c>
      <c r="D12" s="27">
        <v>0</v>
      </c>
      <c r="E12" s="27">
        <v>0</v>
      </c>
      <c r="F12" s="27">
        <v>1</v>
      </c>
      <c r="G12" s="27">
        <v>1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1</v>
      </c>
      <c r="N12" s="27">
        <v>0</v>
      </c>
      <c r="O12" s="27">
        <v>0</v>
      </c>
      <c r="P12" s="27">
        <v>1</v>
      </c>
      <c r="Q12" s="27">
        <v>0</v>
      </c>
      <c r="R12" s="27">
        <v>1</v>
      </c>
      <c r="S12" s="27">
        <v>1</v>
      </c>
      <c r="T12" s="27">
        <v>1</v>
      </c>
      <c r="U12" s="27">
        <v>0</v>
      </c>
      <c r="V12" s="27">
        <v>11901</v>
      </c>
    </row>
    <row r="13" spans="1:22">
      <c r="A13" s="2" t="s">
        <v>24</v>
      </c>
      <c r="B13" s="2">
        <v>525</v>
      </c>
      <c r="C13" s="27">
        <v>1</v>
      </c>
      <c r="D13" s="27">
        <v>1</v>
      </c>
      <c r="E13" s="27">
        <v>1</v>
      </c>
      <c r="F13" s="27">
        <v>1</v>
      </c>
      <c r="G13" s="27">
        <v>1</v>
      </c>
      <c r="H13" s="27">
        <v>0</v>
      </c>
      <c r="I13" s="27">
        <v>1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1</v>
      </c>
      <c r="Q13" s="27">
        <v>0</v>
      </c>
      <c r="R13" s="27">
        <v>1</v>
      </c>
      <c r="S13" s="27">
        <v>1</v>
      </c>
      <c r="T13" s="27">
        <v>0</v>
      </c>
      <c r="U13" s="27">
        <v>0</v>
      </c>
      <c r="V13" s="27">
        <v>15401</v>
      </c>
    </row>
    <row r="14" spans="1:22">
      <c r="A14" s="2" t="s">
        <v>25</v>
      </c>
      <c r="B14" s="2">
        <v>-100</v>
      </c>
      <c r="C14" s="27">
        <v>1</v>
      </c>
      <c r="D14" s="27">
        <v>1</v>
      </c>
      <c r="E14" s="27">
        <v>1</v>
      </c>
      <c r="F14" s="27">
        <v>1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1</v>
      </c>
      <c r="N14" s="27">
        <v>1</v>
      </c>
      <c r="O14" s="27">
        <v>0</v>
      </c>
      <c r="P14" s="27">
        <v>1</v>
      </c>
      <c r="Q14" s="27">
        <v>0</v>
      </c>
      <c r="R14" s="27">
        <v>1</v>
      </c>
      <c r="S14" s="27">
        <v>0</v>
      </c>
      <c r="T14" s="27">
        <v>0</v>
      </c>
      <c r="U14" s="27">
        <v>0</v>
      </c>
      <c r="V14" s="27">
        <v>12401</v>
      </c>
    </row>
    <row r="15" spans="1:22">
      <c r="A15" s="2" t="s">
        <v>26</v>
      </c>
      <c r="B15" s="2">
        <v>300</v>
      </c>
      <c r="C15" s="27">
        <v>1</v>
      </c>
      <c r="D15" s="27">
        <v>0</v>
      </c>
      <c r="E15" s="27">
        <v>0</v>
      </c>
      <c r="F15" s="27">
        <v>0</v>
      </c>
      <c r="G15" s="27">
        <v>1</v>
      </c>
      <c r="H15" s="27">
        <v>1</v>
      </c>
      <c r="I15" s="27">
        <v>0</v>
      </c>
      <c r="J15" s="27">
        <v>0</v>
      </c>
      <c r="K15" s="27">
        <v>0</v>
      </c>
      <c r="L15" s="27">
        <v>0</v>
      </c>
      <c r="M15" s="27">
        <v>1</v>
      </c>
      <c r="N15" s="27">
        <v>0</v>
      </c>
      <c r="O15" s="27">
        <v>1</v>
      </c>
      <c r="P15" s="27">
        <v>0</v>
      </c>
      <c r="Q15" s="27">
        <v>1</v>
      </c>
      <c r="R15" s="27">
        <v>1</v>
      </c>
      <c r="S15" s="27">
        <v>1</v>
      </c>
      <c r="T15" s="27">
        <v>1</v>
      </c>
      <c r="U15" s="27">
        <v>0</v>
      </c>
      <c r="V15" s="27">
        <v>12901</v>
      </c>
    </row>
    <row r="16" spans="1:22">
      <c r="A16" s="2" t="s">
        <v>27</v>
      </c>
      <c r="B16" s="2">
        <v>600</v>
      </c>
      <c r="C16" s="27">
        <v>1</v>
      </c>
      <c r="D16" s="27">
        <v>0</v>
      </c>
      <c r="E16" s="27">
        <v>0</v>
      </c>
      <c r="F16" s="27">
        <v>1</v>
      </c>
      <c r="G16" s="27">
        <v>1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1</v>
      </c>
      <c r="N16" s="27">
        <v>0</v>
      </c>
      <c r="O16" s="27">
        <v>1</v>
      </c>
      <c r="P16" s="27">
        <v>1</v>
      </c>
      <c r="Q16" s="27">
        <v>0</v>
      </c>
      <c r="R16" s="27">
        <v>1</v>
      </c>
      <c r="S16" s="27">
        <v>1</v>
      </c>
      <c r="T16" s="27">
        <v>0</v>
      </c>
      <c r="U16" s="27">
        <v>1</v>
      </c>
      <c r="V16" s="27">
        <v>12401</v>
      </c>
    </row>
    <row r="17" spans="1:22">
      <c r="A17" s="2" t="s">
        <v>22</v>
      </c>
      <c r="B17" s="2">
        <v>-175</v>
      </c>
      <c r="C17" s="27">
        <v>1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1</v>
      </c>
      <c r="J17" s="27">
        <v>0</v>
      </c>
      <c r="K17" s="27">
        <v>0</v>
      </c>
      <c r="L17" s="27">
        <v>0</v>
      </c>
      <c r="M17" s="27">
        <v>0</v>
      </c>
      <c r="N17" s="27">
        <v>1</v>
      </c>
      <c r="O17" s="27">
        <v>0</v>
      </c>
      <c r="P17" s="27">
        <v>0</v>
      </c>
      <c r="Q17" s="27">
        <v>1</v>
      </c>
      <c r="R17" s="27">
        <v>1</v>
      </c>
      <c r="S17" s="27">
        <v>1</v>
      </c>
      <c r="T17" s="27">
        <v>1</v>
      </c>
      <c r="U17" s="27">
        <v>1</v>
      </c>
      <c r="V17" s="27">
        <v>9401</v>
      </c>
    </row>
    <row r="18" spans="1:22">
      <c r="A18" s="2" t="s">
        <v>23</v>
      </c>
      <c r="B18" s="2">
        <v>-200</v>
      </c>
      <c r="C18" s="27">
        <v>1</v>
      </c>
      <c r="D18" s="27">
        <v>1</v>
      </c>
      <c r="E18" s="27">
        <v>1</v>
      </c>
      <c r="F18" s="27">
        <v>1</v>
      </c>
      <c r="G18" s="27">
        <v>0</v>
      </c>
      <c r="H18" s="27">
        <v>1</v>
      </c>
      <c r="I18" s="27">
        <v>1</v>
      </c>
      <c r="J18" s="27">
        <v>0</v>
      </c>
      <c r="K18" s="27">
        <v>0</v>
      </c>
      <c r="L18" s="27">
        <v>0</v>
      </c>
      <c r="M18" s="27">
        <v>0</v>
      </c>
      <c r="N18" s="27">
        <v>1</v>
      </c>
      <c r="O18" s="27">
        <v>0</v>
      </c>
      <c r="P18" s="27">
        <v>0</v>
      </c>
      <c r="Q18" s="27">
        <v>0</v>
      </c>
      <c r="R18" s="27">
        <v>1</v>
      </c>
      <c r="S18" s="27">
        <v>0</v>
      </c>
      <c r="T18" s="27">
        <v>1</v>
      </c>
      <c r="U18" s="27">
        <v>0</v>
      </c>
      <c r="V18" s="27">
        <v>14901</v>
      </c>
    </row>
    <row r="19" spans="1:22">
      <c r="A19" s="2" t="s">
        <v>24</v>
      </c>
      <c r="B19" s="2">
        <v>-225</v>
      </c>
      <c r="C19" s="27">
        <v>1</v>
      </c>
      <c r="D19" s="27">
        <v>1</v>
      </c>
      <c r="E19" s="27">
        <v>1</v>
      </c>
      <c r="F19" s="27">
        <v>1</v>
      </c>
      <c r="G19" s="27">
        <v>0</v>
      </c>
      <c r="H19" s="27">
        <v>1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1</v>
      </c>
      <c r="O19" s="27">
        <v>1</v>
      </c>
      <c r="P19" s="27">
        <v>1</v>
      </c>
      <c r="Q19" s="27">
        <v>0</v>
      </c>
      <c r="R19" s="27">
        <v>1</v>
      </c>
      <c r="S19" s="27">
        <v>1</v>
      </c>
      <c r="T19" s="27">
        <v>0</v>
      </c>
      <c r="U19" s="27">
        <v>0</v>
      </c>
      <c r="V19" s="27">
        <v>15901</v>
      </c>
    </row>
    <row r="20" spans="1:22">
      <c r="A20" s="2" t="s">
        <v>25</v>
      </c>
      <c r="B20" s="2">
        <v>-325</v>
      </c>
      <c r="C20" s="27">
        <v>0</v>
      </c>
      <c r="D20" s="27">
        <v>0</v>
      </c>
      <c r="E20" s="27">
        <v>0</v>
      </c>
      <c r="F20" s="27">
        <v>1</v>
      </c>
      <c r="G20" s="27">
        <v>0</v>
      </c>
      <c r="H20" s="27">
        <v>1</v>
      </c>
      <c r="I20" s="27">
        <v>0</v>
      </c>
      <c r="J20" s="27">
        <v>0</v>
      </c>
      <c r="K20" s="27">
        <v>0</v>
      </c>
      <c r="L20" s="27">
        <v>0</v>
      </c>
      <c r="M20" s="27">
        <v>1</v>
      </c>
      <c r="N20" s="27">
        <v>1</v>
      </c>
      <c r="O20" s="27">
        <v>0</v>
      </c>
      <c r="P20" s="27">
        <v>1</v>
      </c>
      <c r="Q20" s="27">
        <v>1</v>
      </c>
      <c r="R20" s="27">
        <v>1</v>
      </c>
      <c r="S20" s="27">
        <v>0</v>
      </c>
      <c r="T20" s="27">
        <v>0</v>
      </c>
      <c r="U20" s="27">
        <v>1</v>
      </c>
      <c r="V20" s="27">
        <v>9401</v>
      </c>
    </row>
    <row r="21" spans="1:22">
      <c r="A21" s="2" t="s">
        <v>26</v>
      </c>
      <c r="B21" s="2">
        <v>525</v>
      </c>
      <c r="C21" s="27">
        <v>1</v>
      </c>
      <c r="D21" s="27">
        <v>1</v>
      </c>
      <c r="E21" s="27">
        <v>0</v>
      </c>
      <c r="F21" s="27">
        <v>1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1</v>
      </c>
      <c r="N21" s="27">
        <v>0</v>
      </c>
      <c r="O21" s="27">
        <v>0</v>
      </c>
      <c r="P21" s="27">
        <v>1</v>
      </c>
      <c r="Q21" s="27">
        <v>0</v>
      </c>
      <c r="R21" s="27">
        <v>1</v>
      </c>
      <c r="S21" s="27">
        <v>0</v>
      </c>
      <c r="T21" s="27">
        <v>1</v>
      </c>
      <c r="U21" s="27">
        <v>1</v>
      </c>
      <c r="V21" s="27">
        <v>9901</v>
      </c>
    </row>
    <row r="22" spans="1:22">
      <c r="A22" s="2" t="s">
        <v>22</v>
      </c>
      <c r="B22" s="2">
        <v>-250</v>
      </c>
      <c r="C22" s="27">
        <v>1</v>
      </c>
      <c r="D22" s="27">
        <v>1</v>
      </c>
      <c r="E22" s="27">
        <v>0</v>
      </c>
      <c r="F22" s="27">
        <v>1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1</v>
      </c>
      <c r="O22" s="27">
        <v>0</v>
      </c>
      <c r="P22" s="27">
        <v>1</v>
      </c>
      <c r="Q22" s="27">
        <v>1</v>
      </c>
      <c r="R22" s="27">
        <v>0</v>
      </c>
      <c r="S22" s="27">
        <v>1</v>
      </c>
      <c r="T22" s="27">
        <v>0</v>
      </c>
      <c r="U22" s="27">
        <v>1</v>
      </c>
      <c r="V22" s="27">
        <v>9901</v>
      </c>
    </row>
    <row r="23" spans="1:22">
      <c r="A23" s="2" t="s">
        <v>23</v>
      </c>
      <c r="B23" s="2">
        <v>-50</v>
      </c>
      <c r="C23" s="27">
        <v>1</v>
      </c>
      <c r="D23" s="27">
        <v>0</v>
      </c>
      <c r="E23" s="27">
        <v>0</v>
      </c>
      <c r="F23" s="27">
        <v>1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1</v>
      </c>
      <c r="N23" s="27">
        <v>1</v>
      </c>
      <c r="O23" s="27">
        <v>1</v>
      </c>
      <c r="P23" s="27">
        <v>1</v>
      </c>
      <c r="Q23" s="27">
        <v>1</v>
      </c>
      <c r="R23" s="27">
        <v>1</v>
      </c>
      <c r="S23" s="27">
        <v>1</v>
      </c>
      <c r="T23" s="27">
        <v>0</v>
      </c>
      <c r="U23" s="27">
        <v>0</v>
      </c>
      <c r="V23" s="27">
        <v>9901</v>
      </c>
    </row>
    <row r="24" spans="1:22">
      <c r="A24" s="2" t="s">
        <v>24</v>
      </c>
      <c r="B24" s="2">
        <v>-475</v>
      </c>
      <c r="C24" s="27">
        <v>1</v>
      </c>
      <c r="D24" s="27">
        <v>0</v>
      </c>
      <c r="E24" s="27">
        <v>0</v>
      </c>
      <c r="F24" s="27">
        <v>0</v>
      </c>
      <c r="G24" s="27">
        <v>0</v>
      </c>
      <c r="H24" s="27">
        <v>1</v>
      </c>
      <c r="I24" s="27">
        <v>1</v>
      </c>
      <c r="J24" s="27">
        <v>0</v>
      </c>
      <c r="K24" s="27">
        <v>0</v>
      </c>
      <c r="L24" s="27">
        <v>0</v>
      </c>
      <c r="M24" s="27">
        <v>1</v>
      </c>
      <c r="N24" s="27">
        <v>1</v>
      </c>
      <c r="O24" s="27">
        <v>0</v>
      </c>
      <c r="P24" s="27">
        <v>1</v>
      </c>
      <c r="Q24" s="27">
        <v>1</v>
      </c>
      <c r="R24" s="27">
        <v>0</v>
      </c>
      <c r="S24" s="27">
        <v>1</v>
      </c>
      <c r="T24" s="27">
        <v>0</v>
      </c>
      <c r="U24" s="27">
        <v>0</v>
      </c>
      <c r="V24" s="27">
        <v>9901</v>
      </c>
    </row>
    <row r="25" spans="1:22">
      <c r="A25" s="2" t="s">
        <v>22</v>
      </c>
      <c r="B25" s="2">
        <v>825</v>
      </c>
      <c r="C25" s="27">
        <v>1</v>
      </c>
      <c r="D25" s="27">
        <v>1</v>
      </c>
      <c r="E25" s="27">
        <v>0</v>
      </c>
      <c r="F25" s="27">
        <v>1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1</v>
      </c>
      <c r="N25" s="27">
        <v>0</v>
      </c>
      <c r="O25" s="27">
        <v>0</v>
      </c>
      <c r="P25" s="27">
        <v>1</v>
      </c>
      <c r="Q25" s="27">
        <v>1</v>
      </c>
      <c r="R25" s="27">
        <v>1</v>
      </c>
      <c r="S25" s="27">
        <v>0</v>
      </c>
      <c r="T25" s="27">
        <v>1</v>
      </c>
      <c r="U25" s="27">
        <v>0</v>
      </c>
      <c r="V25" s="27">
        <v>8901</v>
      </c>
    </row>
    <row r="26" spans="1:22">
      <c r="A26" s="2" t="s">
        <v>23</v>
      </c>
      <c r="B26" s="2">
        <v>-175</v>
      </c>
      <c r="C26" s="27">
        <v>1</v>
      </c>
      <c r="D26" s="27">
        <v>1</v>
      </c>
      <c r="E26" s="27">
        <v>0</v>
      </c>
      <c r="F26" s="27">
        <v>1</v>
      </c>
      <c r="G26" s="27">
        <v>0</v>
      </c>
      <c r="H26" s="27">
        <v>1</v>
      </c>
      <c r="I26" s="27">
        <v>0</v>
      </c>
      <c r="J26" s="27">
        <v>0</v>
      </c>
      <c r="K26" s="27">
        <v>0</v>
      </c>
      <c r="L26" s="27">
        <v>0</v>
      </c>
      <c r="M26" s="27">
        <v>1</v>
      </c>
      <c r="N26" s="27">
        <v>0</v>
      </c>
      <c r="O26" s="27">
        <v>1</v>
      </c>
      <c r="P26" s="27">
        <v>1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  <c r="V26" s="27">
        <v>9401</v>
      </c>
    </row>
    <row r="27" spans="1:22">
      <c r="A27" s="2" t="s">
        <v>22</v>
      </c>
      <c r="B27" s="2">
        <v>-450</v>
      </c>
      <c r="C27" s="27">
        <v>1</v>
      </c>
      <c r="D27" s="27">
        <v>1</v>
      </c>
      <c r="E27" s="27">
        <v>0</v>
      </c>
      <c r="F27" s="27">
        <v>0</v>
      </c>
      <c r="G27" s="27">
        <v>0</v>
      </c>
      <c r="H27" s="27">
        <v>1</v>
      </c>
      <c r="I27" s="27">
        <v>1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1</v>
      </c>
      <c r="R27" s="27">
        <v>1</v>
      </c>
      <c r="S27" s="27">
        <v>1</v>
      </c>
      <c r="T27" s="27">
        <v>0</v>
      </c>
      <c r="U27" s="27">
        <v>1</v>
      </c>
      <c r="V27" s="27">
        <v>9901</v>
      </c>
    </row>
    <row r="28" spans="1:22">
      <c r="A28" s="2" t="s">
        <v>23</v>
      </c>
      <c r="B28" s="2">
        <v>425</v>
      </c>
      <c r="C28" s="27">
        <v>1</v>
      </c>
      <c r="D28" s="27">
        <v>0</v>
      </c>
      <c r="E28" s="27">
        <v>1</v>
      </c>
      <c r="F28" s="27">
        <v>0</v>
      </c>
      <c r="G28" s="27">
        <v>1</v>
      </c>
      <c r="H28" s="27">
        <v>1</v>
      </c>
      <c r="I28" s="27">
        <v>1</v>
      </c>
      <c r="J28" s="27">
        <v>0</v>
      </c>
      <c r="K28" s="27">
        <v>0</v>
      </c>
      <c r="L28" s="27">
        <v>0</v>
      </c>
      <c r="M28" s="27">
        <v>1</v>
      </c>
      <c r="N28" s="27">
        <v>0</v>
      </c>
      <c r="O28" s="27">
        <v>1</v>
      </c>
      <c r="P28" s="27">
        <v>0</v>
      </c>
      <c r="Q28" s="27">
        <v>1</v>
      </c>
      <c r="R28" s="27">
        <v>1</v>
      </c>
      <c r="S28" s="27">
        <v>0</v>
      </c>
      <c r="T28" s="27">
        <v>0</v>
      </c>
      <c r="U28" s="27">
        <v>0</v>
      </c>
      <c r="V28" s="27">
        <v>13901</v>
      </c>
    </row>
    <row r="29" spans="1:22">
      <c r="A29" s="2" t="s">
        <v>24</v>
      </c>
      <c r="B29" s="2">
        <v>-225</v>
      </c>
      <c r="C29" s="27">
        <v>1</v>
      </c>
      <c r="D29" s="27">
        <v>1</v>
      </c>
      <c r="E29" s="27">
        <v>0</v>
      </c>
      <c r="F29" s="27">
        <v>1</v>
      </c>
      <c r="G29" s="27">
        <v>0</v>
      </c>
      <c r="H29" s="27">
        <v>0</v>
      </c>
      <c r="I29" s="27">
        <v>1</v>
      </c>
      <c r="J29" s="27">
        <v>0</v>
      </c>
      <c r="K29" s="27">
        <v>0</v>
      </c>
      <c r="L29" s="27">
        <v>0</v>
      </c>
      <c r="M29" s="27">
        <v>0</v>
      </c>
      <c r="N29" s="27">
        <v>1</v>
      </c>
      <c r="O29" s="27">
        <v>0</v>
      </c>
      <c r="P29" s="27">
        <v>0</v>
      </c>
      <c r="Q29" s="27">
        <v>1</v>
      </c>
      <c r="R29" s="27">
        <v>0</v>
      </c>
      <c r="S29" s="27">
        <v>1</v>
      </c>
      <c r="T29" s="27">
        <v>1</v>
      </c>
      <c r="U29" s="27">
        <v>0</v>
      </c>
      <c r="V29" s="27">
        <v>10401</v>
      </c>
    </row>
    <row r="30" spans="1:22">
      <c r="A30" s="2" t="s">
        <v>22</v>
      </c>
      <c r="B30" s="2">
        <v>-275</v>
      </c>
      <c r="C30" s="27">
        <v>1</v>
      </c>
      <c r="D30" s="27">
        <v>0</v>
      </c>
      <c r="E30" s="27">
        <v>0</v>
      </c>
      <c r="F30" s="27">
        <v>1</v>
      </c>
      <c r="G30" s="27">
        <v>0</v>
      </c>
      <c r="H30" s="27">
        <v>1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1</v>
      </c>
      <c r="O30" s="27">
        <v>0</v>
      </c>
      <c r="P30" s="27">
        <v>1</v>
      </c>
      <c r="Q30" s="27">
        <v>1</v>
      </c>
      <c r="R30" s="27">
        <v>1</v>
      </c>
      <c r="S30" s="27">
        <v>0</v>
      </c>
      <c r="T30" s="27">
        <v>1</v>
      </c>
      <c r="U30" s="27">
        <v>0</v>
      </c>
      <c r="V30" s="27">
        <v>9901</v>
      </c>
    </row>
    <row r="31" spans="1:22">
      <c r="A31" s="2" t="s">
        <v>23</v>
      </c>
      <c r="B31" s="2">
        <v>-25</v>
      </c>
      <c r="C31" s="27">
        <v>0</v>
      </c>
      <c r="D31" s="27">
        <v>1</v>
      </c>
      <c r="E31" s="27">
        <v>0</v>
      </c>
      <c r="F31" s="27">
        <v>1</v>
      </c>
      <c r="G31" s="27">
        <v>0</v>
      </c>
      <c r="H31" s="27">
        <v>1</v>
      </c>
      <c r="I31" s="27">
        <v>1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1</v>
      </c>
      <c r="R31" s="27">
        <v>1</v>
      </c>
      <c r="S31" s="27">
        <v>1</v>
      </c>
      <c r="T31" s="27">
        <v>1</v>
      </c>
      <c r="U31" s="27">
        <v>0</v>
      </c>
      <c r="V31" s="27">
        <v>10401</v>
      </c>
    </row>
    <row r="32" spans="1:22">
      <c r="A32" s="2" t="s">
        <v>24</v>
      </c>
      <c r="B32" s="2">
        <v>250</v>
      </c>
      <c r="C32" s="27">
        <v>1</v>
      </c>
      <c r="D32" s="27">
        <v>0</v>
      </c>
      <c r="E32" s="27">
        <v>0</v>
      </c>
      <c r="F32" s="27">
        <v>1</v>
      </c>
      <c r="G32" s="27">
        <v>1</v>
      </c>
      <c r="H32" s="27">
        <v>0</v>
      </c>
      <c r="I32" s="27">
        <v>1</v>
      </c>
      <c r="J32" s="27">
        <v>0</v>
      </c>
      <c r="K32" s="27">
        <v>0</v>
      </c>
      <c r="L32" s="27">
        <v>0</v>
      </c>
      <c r="M32" s="27">
        <v>1</v>
      </c>
      <c r="N32" s="27">
        <v>0</v>
      </c>
      <c r="O32" s="27">
        <v>1</v>
      </c>
      <c r="P32" s="27">
        <v>0</v>
      </c>
      <c r="Q32" s="27">
        <v>1</v>
      </c>
      <c r="R32" s="27">
        <v>1</v>
      </c>
      <c r="S32" s="27">
        <v>0</v>
      </c>
      <c r="T32" s="27">
        <v>0</v>
      </c>
      <c r="U32" s="27">
        <v>0</v>
      </c>
      <c r="V32" s="27">
        <v>9901</v>
      </c>
    </row>
    <row r="33" spans="1:22">
      <c r="A33" s="2" t="s">
        <v>22</v>
      </c>
      <c r="B33" s="2">
        <v>-450</v>
      </c>
      <c r="C33" s="27">
        <v>1</v>
      </c>
      <c r="D33" s="27">
        <v>1</v>
      </c>
      <c r="E33" s="27">
        <v>0</v>
      </c>
      <c r="F33" s="27">
        <v>0</v>
      </c>
      <c r="G33" s="27">
        <v>0</v>
      </c>
      <c r="H33" s="27">
        <v>1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1</v>
      </c>
      <c r="O33" s="27">
        <v>0</v>
      </c>
      <c r="P33" s="27">
        <v>0</v>
      </c>
      <c r="Q33" s="27">
        <v>1</v>
      </c>
      <c r="R33" s="27">
        <v>0</v>
      </c>
      <c r="S33" s="27">
        <v>1</v>
      </c>
      <c r="T33" s="27">
        <v>1</v>
      </c>
      <c r="U33" s="27">
        <v>1</v>
      </c>
      <c r="V33" s="27">
        <v>11401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4"/>
  <sheetViews>
    <sheetView zoomScale="126" zoomScaleNormal="126" workbookViewId="0">
      <selection activeCell="B3" sqref="B3:B34"/>
    </sheetView>
  </sheetViews>
  <sheetFormatPr defaultColWidth="9" defaultRowHeight="16.8" outlineLevelCol="3"/>
  <cols>
    <col min="1" max="1" width="6.375" style="3" customWidth="1"/>
    <col min="2" max="2" width="8.875" style="5" customWidth="1"/>
    <col min="3" max="3" width="5.125" style="5" customWidth="1"/>
    <col min="4" max="4" width="9" style="3" customWidth="1"/>
    <col min="5" max="16384" width="9" style="5"/>
  </cols>
  <sheetData>
    <row r="1" spans="1:4">
      <c r="A1" s="14" t="s">
        <v>0</v>
      </c>
      <c r="B1" s="15" t="s">
        <v>31</v>
      </c>
      <c r="C1" s="15"/>
      <c r="D1" s="16"/>
    </row>
    <row r="2" spans="1:4">
      <c r="A2" s="17" t="s">
        <v>32</v>
      </c>
      <c r="B2" s="18" t="s">
        <v>33</v>
      </c>
      <c r="C2" s="19" t="s">
        <v>20</v>
      </c>
      <c r="D2" s="20" t="s">
        <v>7</v>
      </c>
    </row>
    <row r="3" spans="1:4">
      <c r="A3" s="21" t="s">
        <v>22</v>
      </c>
      <c r="B3" s="2">
        <v>425</v>
      </c>
      <c r="C3" s="2">
        <v>1</v>
      </c>
      <c r="D3" s="20">
        <v>0</v>
      </c>
    </row>
    <row r="4" spans="1:4">
      <c r="A4" s="21" t="s">
        <v>23</v>
      </c>
      <c r="B4" s="2">
        <v>325</v>
      </c>
      <c r="C4" s="2">
        <v>1</v>
      </c>
      <c r="D4" s="20">
        <v>1</v>
      </c>
    </row>
    <row r="5" spans="1:4">
      <c r="A5" s="21" t="s">
        <v>24</v>
      </c>
      <c r="B5" s="2">
        <v>75</v>
      </c>
      <c r="C5" s="2">
        <v>1</v>
      </c>
      <c r="D5" s="20">
        <v>1</v>
      </c>
    </row>
    <row r="6" spans="1:4">
      <c r="A6" s="21" t="s">
        <v>25</v>
      </c>
      <c r="B6" s="2">
        <v>-25</v>
      </c>
      <c r="C6" s="2">
        <v>1</v>
      </c>
      <c r="D6" s="20">
        <v>0</v>
      </c>
    </row>
    <row r="7" spans="1:4">
      <c r="A7" s="21" t="s">
        <v>26</v>
      </c>
      <c r="B7" s="2">
        <v>25</v>
      </c>
      <c r="C7" s="2">
        <v>0</v>
      </c>
      <c r="D7" s="20">
        <v>0</v>
      </c>
    </row>
    <row r="8" spans="1:4">
      <c r="A8" s="21" t="s">
        <v>27</v>
      </c>
      <c r="B8" s="2">
        <v>525</v>
      </c>
      <c r="C8" s="2">
        <v>1</v>
      </c>
      <c r="D8" s="20">
        <v>0</v>
      </c>
    </row>
    <row r="9" spans="1:4">
      <c r="A9" s="21" t="s">
        <v>28</v>
      </c>
      <c r="B9" s="2">
        <v>-500</v>
      </c>
      <c r="C9" s="2">
        <v>1</v>
      </c>
      <c r="D9" s="20">
        <v>1</v>
      </c>
    </row>
    <row r="10" spans="1:4">
      <c r="A10" s="21" t="s">
        <v>29</v>
      </c>
      <c r="B10" s="2">
        <v>-275</v>
      </c>
      <c r="C10" s="2">
        <v>1</v>
      </c>
      <c r="D10" s="20">
        <v>1</v>
      </c>
    </row>
    <row r="11" ht="17.55" spans="1:4">
      <c r="A11" s="22" t="s">
        <v>30</v>
      </c>
      <c r="B11" s="2">
        <v>-125</v>
      </c>
      <c r="C11" s="23">
        <v>1</v>
      </c>
      <c r="D11" s="20">
        <v>1</v>
      </c>
    </row>
    <row r="12" spans="1:4">
      <c r="A12" s="17" t="s">
        <v>22</v>
      </c>
      <c r="B12" s="2">
        <v>0</v>
      </c>
      <c r="C12" s="19">
        <v>1</v>
      </c>
      <c r="D12" s="20">
        <v>0</v>
      </c>
    </row>
    <row r="13" spans="1:4">
      <c r="A13" s="21" t="s">
        <v>23</v>
      </c>
      <c r="B13" s="2">
        <v>525</v>
      </c>
      <c r="C13" s="2">
        <v>0</v>
      </c>
      <c r="D13" s="20">
        <v>0</v>
      </c>
    </row>
    <row r="14" spans="1:4">
      <c r="A14" s="21" t="s">
        <v>24</v>
      </c>
      <c r="B14" s="2">
        <v>525</v>
      </c>
      <c r="C14" s="2">
        <v>0</v>
      </c>
      <c r="D14" s="20">
        <v>0</v>
      </c>
    </row>
    <row r="15" spans="1:4">
      <c r="A15" s="21" t="s">
        <v>25</v>
      </c>
      <c r="B15" s="2">
        <v>-100</v>
      </c>
      <c r="C15" s="2">
        <v>0</v>
      </c>
      <c r="D15" s="20">
        <v>0</v>
      </c>
    </row>
    <row r="16" spans="1:4">
      <c r="A16" s="21" t="s">
        <v>26</v>
      </c>
      <c r="B16" s="2">
        <v>300</v>
      </c>
      <c r="C16" s="2">
        <v>0</v>
      </c>
      <c r="D16" s="20">
        <v>1</v>
      </c>
    </row>
    <row r="17" ht="17.55" spans="1:4">
      <c r="A17" s="22" t="s">
        <v>27</v>
      </c>
      <c r="B17" s="2">
        <v>600</v>
      </c>
      <c r="C17" s="23">
        <v>1</v>
      </c>
      <c r="D17" s="20">
        <v>0</v>
      </c>
    </row>
    <row r="18" spans="1:4">
      <c r="A18" s="17" t="s">
        <v>22</v>
      </c>
      <c r="B18" s="2">
        <v>-175</v>
      </c>
      <c r="C18" s="19">
        <v>1</v>
      </c>
      <c r="D18" s="20">
        <v>0</v>
      </c>
    </row>
    <row r="19" spans="1:4">
      <c r="A19" s="21" t="s">
        <v>23</v>
      </c>
      <c r="B19" s="2">
        <v>-200</v>
      </c>
      <c r="C19" s="2">
        <v>0</v>
      </c>
      <c r="D19" s="20">
        <v>1</v>
      </c>
    </row>
    <row r="20" spans="1:4">
      <c r="A20" s="21" t="s">
        <v>24</v>
      </c>
      <c r="B20" s="2">
        <v>-225</v>
      </c>
      <c r="C20" s="2">
        <v>0</v>
      </c>
      <c r="D20" s="20">
        <v>1</v>
      </c>
    </row>
    <row r="21" spans="1:4">
      <c r="A21" s="21" t="s">
        <v>25</v>
      </c>
      <c r="B21" s="2">
        <v>-325</v>
      </c>
      <c r="C21" s="2">
        <v>1</v>
      </c>
      <c r="D21" s="20">
        <v>1</v>
      </c>
    </row>
    <row r="22" ht="17.55" spans="1:4">
      <c r="A22" s="22" t="s">
        <v>26</v>
      </c>
      <c r="B22" s="2">
        <v>525</v>
      </c>
      <c r="C22" s="23">
        <v>1</v>
      </c>
      <c r="D22" s="20">
        <v>0</v>
      </c>
    </row>
    <row r="23" spans="1:4">
      <c r="A23" s="17" t="s">
        <v>22</v>
      </c>
      <c r="B23" s="2">
        <v>-250</v>
      </c>
      <c r="C23" s="19">
        <v>1</v>
      </c>
      <c r="D23" s="20">
        <v>0</v>
      </c>
    </row>
    <row r="24" spans="1:4">
      <c r="A24" s="21" t="s">
        <v>23</v>
      </c>
      <c r="B24" s="2">
        <v>-50</v>
      </c>
      <c r="C24" s="2">
        <v>0</v>
      </c>
      <c r="D24" s="20">
        <v>0</v>
      </c>
    </row>
    <row r="25" ht="17.55" spans="1:4">
      <c r="A25" s="22" t="s">
        <v>24</v>
      </c>
      <c r="B25" s="2">
        <v>-475</v>
      </c>
      <c r="C25" s="23">
        <v>0</v>
      </c>
      <c r="D25" s="20">
        <v>1</v>
      </c>
    </row>
    <row r="26" spans="1:4">
      <c r="A26" s="17" t="s">
        <v>22</v>
      </c>
      <c r="B26" s="2">
        <v>825</v>
      </c>
      <c r="C26" s="19">
        <v>0</v>
      </c>
      <c r="D26" s="20">
        <v>0</v>
      </c>
    </row>
    <row r="27" ht="17.55" spans="1:4">
      <c r="A27" s="22" t="s">
        <v>23</v>
      </c>
      <c r="B27" s="2">
        <v>-175</v>
      </c>
      <c r="C27" s="23">
        <v>0</v>
      </c>
      <c r="D27" s="20">
        <v>1</v>
      </c>
    </row>
    <row r="28" spans="1:4">
      <c r="A28" s="17" t="s">
        <v>22</v>
      </c>
      <c r="B28" s="2">
        <v>-450</v>
      </c>
      <c r="C28" s="19">
        <v>1</v>
      </c>
      <c r="D28" s="20">
        <v>1</v>
      </c>
    </row>
    <row r="29" spans="1:4">
      <c r="A29" s="21" t="s">
        <v>23</v>
      </c>
      <c r="B29" s="2">
        <v>425</v>
      </c>
      <c r="C29" s="2">
        <v>0</v>
      </c>
      <c r="D29" s="20">
        <v>1</v>
      </c>
    </row>
    <row r="30" ht="17.55" spans="1:4">
      <c r="A30" s="22" t="s">
        <v>24</v>
      </c>
      <c r="B30" s="2">
        <v>-225</v>
      </c>
      <c r="C30" s="23">
        <v>0</v>
      </c>
      <c r="D30" s="20">
        <v>0</v>
      </c>
    </row>
    <row r="31" spans="1:4">
      <c r="A31" s="17" t="s">
        <v>22</v>
      </c>
      <c r="B31" s="2">
        <v>-275</v>
      </c>
      <c r="C31" s="19">
        <v>0</v>
      </c>
      <c r="D31" s="20">
        <v>1</v>
      </c>
    </row>
    <row r="32" spans="1:4">
      <c r="A32" s="21" t="s">
        <v>23</v>
      </c>
      <c r="B32" s="2">
        <v>-25</v>
      </c>
      <c r="C32" s="2">
        <v>0</v>
      </c>
      <c r="D32" s="20">
        <v>1</v>
      </c>
    </row>
    <row r="33" ht="17.55" spans="1:4">
      <c r="A33" s="22" t="s">
        <v>24</v>
      </c>
      <c r="B33" s="2">
        <v>250</v>
      </c>
      <c r="C33" s="23">
        <v>0</v>
      </c>
      <c r="D33" s="20">
        <v>0</v>
      </c>
    </row>
    <row r="34" ht="17.55" spans="1:4">
      <c r="A34" s="24" t="s">
        <v>22</v>
      </c>
      <c r="B34" s="2">
        <v>-450</v>
      </c>
      <c r="C34" s="25">
        <v>1</v>
      </c>
      <c r="D34" s="2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D22"/>
  <sheetViews>
    <sheetView zoomScale="157" zoomScaleNormal="157" topLeftCell="A4" workbookViewId="0">
      <selection activeCell="C19" sqref="C19"/>
    </sheetView>
  </sheetViews>
  <sheetFormatPr defaultColWidth="9" defaultRowHeight="16.8" outlineLevelCol="3"/>
  <cols>
    <col min="1" max="1" width="9" style="10"/>
    <col min="2" max="2" width="13.6346153846154" style="10" customWidth="1"/>
    <col min="3" max="4" width="12.625" style="10"/>
    <col min="5" max="5" width="9.375" style="10"/>
    <col min="6" max="12" width="12.625" style="10"/>
    <col min="13" max="16384" width="9" style="10"/>
  </cols>
  <sheetData>
    <row r="2" spans="3:4">
      <c r="C2" s="10" t="s">
        <v>34</v>
      </c>
      <c r="D2" s="10" t="s">
        <v>35</v>
      </c>
    </row>
    <row r="3" ht="17.55"/>
    <row r="4" ht="17.55" spans="2:4">
      <c r="B4" s="10" t="s">
        <v>36</v>
      </c>
      <c r="D4" s="11"/>
    </row>
    <row r="5" spans="2:2">
      <c r="B5" s="10" t="s">
        <v>37</v>
      </c>
    </row>
    <row r="7" ht="17.55" spans="2:2">
      <c r="B7" s="10" t="s">
        <v>38</v>
      </c>
    </row>
    <row r="8" ht="17.55" spans="2:4">
      <c r="B8" s="10" t="s">
        <v>39</v>
      </c>
      <c r="D8" s="11"/>
    </row>
    <row r="9" spans="2:2">
      <c r="B9" s="10" t="s">
        <v>40</v>
      </c>
    </row>
    <row r="11" ht="17.55" spans="2:2">
      <c r="B11" s="10" t="s">
        <v>41</v>
      </c>
    </row>
    <row r="12" ht="17.55" spans="2:4">
      <c r="B12" s="10" t="s">
        <v>42</v>
      </c>
      <c r="D12" s="11"/>
    </row>
    <row r="14" spans="2:2">
      <c r="B14" s="10" t="s">
        <v>43</v>
      </c>
    </row>
    <row r="15" spans="2:2">
      <c r="B15" s="10" t="s">
        <v>44</v>
      </c>
    </row>
    <row r="16" spans="2:2">
      <c r="B16" s="10" t="s">
        <v>45</v>
      </c>
    </row>
    <row r="18" spans="2:3">
      <c r="B18" s="10" t="s">
        <v>46</v>
      </c>
      <c r="C18" s="10">
        <v>2033.25</v>
      </c>
    </row>
    <row r="19" spans="2:3">
      <c r="B19" s="10" t="s">
        <v>47</v>
      </c>
      <c r="C19" s="12">
        <f>C18/32</f>
        <v>63.5390625</v>
      </c>
    </row>
    <row r="21" spans="2:3">
      <c r="B21" s="10" t="s">
        <v>48</v>
      </c>
      <c r="C21" s="10">
        <f>D4+D7+D11</f>
        <v>0</v>
      </c>
    </row>
    <row r="22" spans="4:4">
      <c r="D22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E21"/>
  <sheetViews>
    <sheetView zoomScale="178" zoomScaleNormal="178" workbookViewId="0">
      <selection activeCell="D3" sqref="D3"/>
    </sheetView>
  </sheetViews>
  <sheetFormatPr defaultColWidth="9" defaultRowHeight="16.8" outlineLevelCol="4"/>
  <cols>
    <col min="1" max="1" width="11.5" style="7"/>
    <col min="2" max="2" width="11.2403846153846" style="7" customWidth="1"/>
    <col min="3" max="3" width="12.5576923076923" style="7" customWidth="1"/>
    <col min="4" max="4" width="9" style="7"/>
    <col min="5" max="5" width="14.0769230769231" style="7"/>
    <col min="6" max="16384" width="9" style="7"/>
  </cols>
  <sheetData>
    <row r="2" spans="1:5">
      <c r="A2" s="8"/>
      <c r="B2" s="8"/>
      <c r="E2" s="7" t="s">
        <v>49</v>
      </c>
    </row>
    <row r="3" ht="17" spans="1:5">
      <c r="A3" s="9" t="s">
        <v>50</v>
      </c>
      <c r="B3" s="9">
        <f>C3+D3</f>
        <v>-31.50875</v>
      </c>
      <c r="C3" s="9">
        <v>32.03125</v>
      </c>
      <c r="D3" s="7">
        <v>-63.54</v>
      </c>
      <c r="E3" s="7">
        <f>B3</f>
        <v>-31.50875</v>
      </c>
    </row>
    <row r="4" ht="17" spans="1:5">
      <c r="A4" s="9" t="s">
        <v>20</v>
      </c>
      <c r="B4" s="9">
        <v>-38.28125</v>
      </c>
      <c r="E4" s="7">
        <f>B4*(2*B15-1)</f>
        <v>-2.251837875</v>
      </c>
    </row>
    <row r="5" ht="17" spans="1:5">
      <c r="A5" s="9" t="s">
        <v>7</v>
      </c>
      <c r="B5" s="9">
        <v>-180.46875</v>
      </c>
      <c r="E5" s="7">
        <f>B5*(2*B15-1)</f>
        <v>-10.615807125</v>
      </c>
    </row>
    <row r="6" ht="17" spans="1:5">
      <c r="A6" s="9" t="s">
        <v>13</v>
      </c>
      <c r="B6" s="9">
        <v>-252.34375</v>
      </c>
      <c r="E6" s="7">
        <f>B6*(2*B15-1)</f>
        <v>-14.843747625</v>
      </c>
    </row>
    <row r="7" ht="17" spans="1:5">
      <c r="A7" s="9" t="s">
        <v>8</v>
      </c>
      <c r="B7" s="9">
        <v>-38.28125</v>
      </c>
      <c r="E7" s="7">
        <f>B7*(2*B15-1)</f>
        <v>-2.251837875</v>
      </c>
    </row>
    <row r="8" ht="17" spans="1:5">
      <c r="A8" s="9" t="s">
        <v>19</v>
      </c>
      <c r="B8" s="9">
        <v>61.71875</v>
      </c>
      <c r="E8" s="7">
        <f>B8*(2*B15-1)</f>
        <v>3.630514125</v>
      </c>
    </row>
    <row r="9" ht="17" spans="1:5">
      <c r="A9" s="9" t="s">
        <v>3</v>
      </c>
      <c r="B9" s="9">
        <v>-39.84375</v>
      </c>
      <c r="E9" s="7">
        <f>B9*(2*B15-1)</f>
        <v>-2.343749625</v>
      </c>
    </row>
    <row r="10" spans="1:5">
      <c r="A10" s="7" t="s">
        <v>51</v>
      </c>
      <c r="B10" s="7">
        <v>-80.46875</v>
      </c>
      <c r="E10" s="7">
        <f>B10*(2*B20-1)</f>
        <v>64.375</v>
      </c>
    </row>
    <row r="11" spans="1:5">
      <c r="A11" s="7" t="s">
        <v>52</v>
      </c>
      <c r="B11" s="7">
        <v>60.15625</v>
      </c>
      <c r="E11" s="7">
        <f>B11*(2*B17-1)</f>
        <v>-3.538602375</v>
      </c>
    </row>
    <row r="12" spans="1:5">
      <c r="A12" s="7" t="s">
        <v>53</v>
      </c>
      <c r="B12" s="7">
        <v>-52.34375</v>
      </c>
      <c r="E12" s="7">
        <f>B12*(2*B17-1)</f>
        <v>3.079043625</v>
      </c>
    </row>
    <row r="13" spans="5:5">
      <c r="E13" s="7">
        <f>SUM(E3:E12)</f>
        <v>3.73022524999999</v>
      </c>
    </row>
    <row r="14" spans="1:2">
      <c r="A14" s="7" t="s">
        <v>54</v>
      </c>
      <c r="B14" s="7">
        <v>0.26470588</v>
      </c>
    </row>
    <row r="15" spans="1:2">
      <c r="A15" s="7" t="s">
        <v>55</v>
      </c>
      <c r="B15" s="7">
        <v>0.52941176</v>
      </c>
    </row>
    <row r="16" spans="1:2">
      <c r="A16" s="7" t="s">
        <v>56</v>
      </c>
      <c r="B16" s="7">
        <f>1+B14-2*B15</f>
        <v>0.20588236</v>
      </c>
    </row>
    <row r="17" spans="1:2">
      <c r="A17" s="7" t="s">
        <v>57</v>
      </c>
      <c r="B17" s="7">
        <f>B14+B16</f>
        <v>0.47058824</v>
      </c>
    </row>
    <row r="18" spans="1:2">
      <c r="A18" s="7" t="s">
        <v>58</v>
      </c>
      <c r="B18" s="7">
        <f>1-B17</f>
        <v>0.52941176</v>
      </c>
    </row>
    <row r="20" spans="1:2">
      <c r="A20" s="7" t="s">
        <v>59</v>
      </c>
      <c r="B20" s="7">
        <v>0.1</v>
      </c>
    </row>
    <row r="21" spans="1:2">
      <c r="A21" s="7" t="s">
        <v>60</v>
      </c>
      <c r="B21" s="7">
        <f>B20*B15+(1-B15)*(1-B20)</f>
        <v>0.476470592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4"/>
  <sheetViews>
    <sheetView tabSelected="1" zoomScale="115" zoomScaleNormal="115" topLeftCell="A12" workbookViewId="0">
      <selection activeCell="E3" sqref="E3"/>
    </sheetView>
  </sheetViews>
  <sheetFormatPr defaultColWidth="9" defaultRowHeight="16.8" outlineLevelCol="4"/>
  <cols>
    <col min="1" max="2" width="9" style="5"/>
    <col min="3" max="3" width="9.375" style="5"/>
    <col min="4" max="4" width="11.7307692307692" style="5" customWidth="1"/>
    <col min="5" max="5" width="11.5" style="5"/>
    <col min="6" max="16384" width="9" style="5"/>
  </cols>
  <sheetData>
    <row r="1" spans="2:5">
      <c r="B1" s="5" t="s">
        <v>61</v>
      </c>
      <c r="C1" s="5" t="b">
        <v>1</v>
      </c>
      <c r="D1" s="5" t="s">
        <v>62</v>
      </c>
      <c r="E1" s="5" t="s">
        <v>63</v>
      </c>
    </row>
    <row r="2" spans="3:5">
      <c r="C2" s="5">
        <v>8000</v>
      </c>
      <c r="E2" s="5">
        <v>8000</v>
      </c>
    </row>
    <row r="3" spans="1:5">
      <c r="A3" s="2" t="s">
        <v>22</v>
      </c>
      <c r="B3" s="2">
        <v>425</v>
      </c>
      <c r="C3" s="5">
        <f>C2+B3-63.54</f>
        <v>8361.46</v>
      </c>
      <c r="D3" s="6">
        <v>293.75</v>
      </c>
      <c r="E3" s="5">
        <f>E2+D3-63.54</f>
        <v>8230.21</v>
      </c>
    </row>
    <row r="4" spans="1:5">
      <c r="A4" s="2" t="s">
        <v>23</v>
      </c>
      <c r="B4" s="2">
        <v>325</v>
      </c>
      <c r="C4" s="5">
        <f t="shared" ref="C4:C34" si="0">C3+B4-63.54</f>
        <v>8622.92</v>
      </c>
      <c r="D4" s="6">
        <v>278.125</v>
      </c>
      <c r="E4" s="5">
        <f t="shared" ref="E4:E34" si="1">E3+D4-63.54</f>
        <v>8444.795</v>
      </c>
    </row>
    <row r="5" spans="1:5">
      <c r="A5" s="2" t="s">
        <v>24</v>
      </c>
      <c r="B5" s="2">
        <v>75</v>
      </c>
      <c r="C5" s="5">
        <f t="shared" si="0"/>
        <v>8634.38</v>
      </c>
      <c r="D5" s="6">
        <v>40.625</v>
      </c>
      <c r="E5" s="5">
        <f t="shared" si="1"/>
        <v>8421.88</v>
      </c>
    </row>
    <row r="6" spans="1:5">
      <c r="A6" s="2" t="s">
        <v>25</v>
      </c>
      <c r="B6" s="2">
        <v>-25</v>
      </c>
      <c r="C6" s="5">
        <f t="shared" si="0"/>
        <v>8545.84</v>
      </c>
      <c r="D6" s="4">
        <v>-145.3125</v>
      </c>
      <c r="E6" s="5">
        <f t="shared" si="1"/>
        <v>8213.0275</v>
      </c>
    </row>
    <row r="7" spans="1:5">
      <c r="A7" s="2" t="s">
        <v>26</v>
      </c>
      <c r="B7" s="2">
        <v>25</v>
      </c>
      <c r="C7" s="5">
        <f t="shared" si="0"/>
        <v>8507.3</v>
      </c>
      <c r="D7" s="6">
        <v>29.6875</v>
      </c>
      <c r="E7" s="5">
        <f t="shared" si="1"/>
        <v>8179.175</v>
      </c>
    </row>
    <row r="8" spans="1:5">
      <c r="A8" s="2" t="s">
        <v>27</v>
      </c>
      <c r="B8" s="2">
        <v>525</v>
      </c>
      <c r="C8" s="5">
        <f t="shared" si="0"/>
        <v>8968.75999999999</v>
      </c>
      <c r="D8" s="6">
        <v>603.124999999999</v>
      </c>
      <c r="E8" s="5">
        <f t="shared" si="1"/>
        <v>8718.75999999999</v>
      </c>
    </row>
    <row r="9" spans="1:5">
      <c r="A9" s="2" t="s">
        <v>28</v>
      </c>
      <c r="B9" s="2">
        <v>-500</v>
      </c>
      <c r="C9" s="5">
        <f t="shared" si="0"/>
        <v>8405.21999999999</v>
      </c>
      <c r="D9" s="4">
        <v>-306.25</v>
      </c>
      <c r="E9" s="5">
        <f t="shared" si="1"/>
        <v>8348.96999999999</v>
      </c>
    </row>
    <row r="10" spans="1:5">
      <c r="A10" s="2" t="s">
        <v>29</v>
      </c>
      <c r="B10" s="2">
        <v>-275</v>
      </c>
      <c r="C10" s="5">
        <f t="shared" si="0"/>
        <v>8066.67999999999</v>
      </c>
      <c r="D10" s="4">
        <v>-367.1875</v>
      </c>
      <c r="E10" s="5">
        <f t="shared" si="1"/>
        <v>7918.24249999999</v>
      </c>
    </row>
    <row r="11" spans="1:5">
      <c r="A11" s="2" t="s">
        <v>30</v>
      </c>
      <c r="B11" s="2">
        <v>-125</v>
      </c>
      <c r="C11" s="5">
        <f t="shared" si="0"/>
        <v>7878.13999999999</v>
      </c>
      <c r="D11" s="6">
        <v>-29.6874999999999</v>
      </c>
      <c r="E11" s="5">
        <f t="shared" si="1"/>
        <v>7825.01499999999</v>
      </c>
    </row>
    <row r="12" spans="1:5">
      <c r="A12" s="2" t="s">
        <v>22</v>
      </c>
      <c r="B12" s="2">
        <v>0</v>
      </c>
      <c r="C12" s="5">
        <f t="shared" si="0"/>
        <v>7814.59999999999</v>
      </c>
      <c r="D12" s="6">
        <v>29.6875000000002</v>
      </c>
      <c r="E12" s="5">
        <f t="shared" si="1"/>
        <v>7791.16249999999</v>
      </c>
    </row>
    <row r="13" spans="1:5">
      <c r="A13" s="2" t="s">
        <v>23</v>
      </c>
      <c r="B13" s="2">
        <v>525</v>
      </c>
      <c r="C13" s="5">
        <f t="shared" si="0"/>
        <v>8276.05999999999</v>
      </c>
      <c r="D13" s="6">
        <v>731.25</v>
      </c>
      <c r="E13" s="5">
        <f t="shared" si="1"/>
        <v>8458.87249999999</v>
      </c>
    </row>
    <row r="14" spans="1:5">
      <c r="A14" s="2" t="s">
        <v>24</v>
      </c>
      <c r="B14" s="2">
        <v>525</v>
      </c>
      <c r="C14" s="5">
        <f t="shared" si="0"/>
        <v>8737.51999999999</v>
      </c>
      <c r="D14" s="6">
        <v>556.249999999999</v>
      </c>
      <c r="E14" s="5">
        <f t="shared" si="1"/>
        <v>8951.58249999999</v>
      </c>
    </row>
    <row r="15" spans="1:5">
      <c r="A15" s="2" t="s">
        <v>25</v>
      </c>
      <c r="B15" s="2">
        <v>-100</v>
      </c>
      <c r="C15" s="5">
        <f t="shared" si="0"/>
        <v>8573.97999999999</v>
      </c>
      <c r="D15" s="6">
        <v>7.8125</v>
      </c>
      <c r="E15" s="5">
        <f t="shared" si="1"/>
        <v>8895.85499999999</v>
      </c>
    </row>
    <row r="16" spans="1:5">
      <c r="A16" s="2" t="s">
        <v>26</v>
      </c>
      <c r="B16" s="2">
        <v>300</v>
      </c>
      <c r="C16" s="5">
        <f t="shared" si="0"/>
        <v>8810.43999999999</v>
      </c>
      <c r="D16" s="6">
        <v>354.6875</v>
      </c>
      <c r="E16" s="5">
        <f t="shared" si="1"/>
        <v>9187.00249999999</v>
      </c>
    </row>
    <row r="17" spans="1:5">
      <c r="A17" s="2" t="s">
        <v>27</v>
      </c>
      <c r="B17" s="2">
        <v>600</v>
      </c>
      <c r="C17" s="5">
        <f t="shared" si="0"/>
        <v>9346.89999999999</v>
      </c>
      <c r="D17" s="6">
        <v>531.25</v>
      </c>
      <c r="E17" s="5">
        <f t="shared" si="1"/>
        <v>9654.71249999999</v>
      </c>
    </row>
    <row r="18" spans="1:5">
      <c r="A18" s="2" t="s">
        <v>22</v>
      </c>
      <c r="B18" s="2">
        <v>-175</v>
      </c>
      <c r="C18" s="5">
        <f t="shared" si="0"/>
        <v>9108.35999999999</v>
      </c>
      <c r="D18" s="4">
        <v>-207.812499999999</v>
      </c>
      <c r="E18" s="5">
        <f t="shared" si="1"/>
        <v>9383.35999999999</v>
      </c>
    </row>
    <row r="19" spans="1:5">
      <c r="A19" s="2" t="s">
        <v>23</v>
      </c>
      <c r="B19" s="2">
        <v>-200</v>
      </c>
      <c r="C19" s="5">
        <f t="shared" si="0"/>
        <v>8844.81999999999</v>
      </c>
      <c r="D19" s="6">
        <v>-290.625</v>
      </c>
      <c r="E19" s="5">
        <f t="shared" si="1"/>
        <v>9029.19499999999</v>
      </c>
    </row>
    <row r="20" spans="1:5">
      <c r="A20" s="2" t="s">
        <v>24</v>
      </c>
      <c r="B20" s="2">
        <v>-225</v>
      </c>
      <c r="C20" s="5">
        <f t="shared" si="0"/>
        <v>8556.27999999999</v>
      </c>
      <c r="D20" s="4">
        <v>-337.5</v>
      </c>
      <c r="E20" s="5">
        <f t="shared" si="1"/>
        <v>8628.15499999999</v>
      </c>
    </row>
    <row r="21" spans="1:5">
      <c r="A21" s="2" t="s">
        <v>25</v>
      </c>
      <c r="B21" s="2">
        <v>-325</v>
      </c>
      <c r="C21" s="5">
        <f t="shared" si="0"/>
        <v>8167.73999999999</v>
      </c>
      <c r="D21" s="4">
        <v>-390.624999999999</v>
      </c>
      <c r="E21" s="5">
        <f t="shared" si="1"/>
        <v>8173.98999999999</v>
      </c>
    </row>
    <row r="22" spans="1:5">
      <c r="A22" s="2" t="s">
        <v>26</v>
      </c>
      <c r="B22" s="2">
        <v>525</v>
      </c>
      <c r="C22" s="5">
        <f t="shared" si="0"/>
        <v>8629.19999999999</v>
      </c>
      <c r="D22" s="6">
        <v>518.749999999999</v>
      </c>
      <c r="E22" s="5">
        <f t="shared" si="1"/>
        <v>8629.19999999999</v>
      </c>
    </row>
    <row r="23" spans="1:5">
      <c r="A23" s="2" t="s">
        <v>22</v>
      </c>
      <c r="B23" s="2">
        <v>-250</v>
      </c>
      <c r="C23" s="5">
        <f t="shared" si="0"/>
        <v>8315.65999999999</v>
      </c>
      <c r="D23" s="6">
        <v>-229.687499999999</v>
      </c>
      <c r="E23" s="5">
        <f t="shared" si="1"/>
        <v>8335.97249999999</v>
      </c>
    </row>
    <row r="24" spans="1:5">
      <c r="A24" s="2" t="s">
        <v>23</v>
      </c>
      <c r="B24" s="2">
        <v>-50</v>
      </c>
      <c r="C24" s="5">
        <f t="shared" si="0"/>
        <v>8202.11999999998</v>
      </c>
      <c r="D24" s="6">
        <v>-178.124999999999</v>
      </c>
      <c r="E24" s="5">
        <f t="shared" si="1"/>
        <v>8094.30749999999</v>
      </c>
    </row>
    <row r="25" spans="1:5">
      <c r="A25" s="2" t="s">
        <v>24</v>
      </c>
      <c r="B25" s="2">
        <v>-475</v>
      </c>
      <c r="C25" s="5">
        <f t="shared" si="0"/>
        <v>7663.57999999998</v>
      </c>
      <c r="D25" s="4">
        <v>-390.624999999999</v>
      </c>
      <c r="E25" s="5">
        <f t="shared" si="1"/>
        <v>7640.14249999999</v>
      </c>
    </row>
    <row r="26" spans="1:5">
      <c r="A26" s="2" t="s">
        <v>22</v>
      </c>
      <c r="B26" s="2">
        <v>825</v>
      </c>
      <c r="C26" s="5">
        <f t="shared" si="0"/>
        <v>8425.03999999998</v>
      </c>
      <c r="D26" s="6">
        <v>595.312499999999</v>
      </c>
      <c r="E26" s="5">
        <f t="shared" si="1"/>
        <v>8171.91499999999</v>
      </c>
    </row>
    <row r="27" spans="1:5">
      <c r="A27" s="2" t="s">
        <v>23</v>
      </c>
      <c r="B27" s="2">
        <v>-175</v>
      </c>
      <c r="C27" s="5">
        <f t="shared" si="0"/>
        <v>8186.49999999998</v>
      </c>
      <c r="D27" s="6">
        <v>-114.062499999999</v>
      </c>
      <c r="E27" s="5">
        <f t="shared" si="1"/>
        <v>7994.31249999999</v>
      </c>
    </row>
    <row r="28" spans="1:5">
      <c r="A28" s="2" t="s">
        <v>22</v>
      </c>
      <c r="B28" s="2">
        <v>-450</v>
      </c>
      <c r="C28" s="5">
        <f t="shared" si="0"/>
        <v>7672.95999999998</v>
      </c>
      <c r="D28" s="6">
        <v>-267.1875</v>
      </c>
      <c r="E28" s="5">
        <f t="shared" si="1"/>
        <v>7663.58499999999</v>
      </c>
    </row>
    <row r="29" spans="1:5">
      <c r="A29" s="2" t="s">
        <v>23</v>
      </c>
      <c r="B29" s="2">
        <v>425</v>
      </c>
      <c r="C29" s="5">
        <f t="shared" si="0"/>
        <v>8034.41999999998</v>
      </c>
      <c r="D29" s="6">
        <v>154.6875</v>
      </c>
      <c r="E29" s="5">
        <f t="shared" si="1"/>
        <v>7754.73249999999</v>
      </c>
    </row>
    <row r="30" spans="1:5">
      <c r="A30" s="2" t="s">
        <v>24</v>
      </c>
      <c r="B30" s="2">
        <v>-225</v>
      </c>
      <c r="C30" s="5">
        <f t="shared" si="0"/>
        <v>7745.87999999998</v>
      </c>
      <c r="D30" s="6">
        <v>-106.25</v>
      </c>
      <c r="E30" s="5">
        <f t="shared" si="1"/>
        <v>7584.94249999999</v>
      </c>
    </row>
    <row r="31" spans="1:5">
      <c r="A31" s="2" t="s">
        <v>22</v>
      </c>
      <c r="B31" s="2">
        <v>-275</v>
      </c>
      <c r="C31" s="5">
        <f t="shared" si="0"/>
        <v>7407.33999999998</v>
      </c>
      <c r="D31" s="6">
        <v>-190.625</v>
      </c>
      <c r="E31" s="5">
        <f t="shared" si="1"/>
        <v>7330.77749999999</v>
      </c>
    </row>
    <row r="32" spans="1:5">
      <c r="A32" s="2" t="s">
        <v>23</v>
      </c>
      <c r="B32" s="2">
        <v>-25</v>
      </c>
      <c r="C32" s="5">
        <f t="shared" si="0"/>
        <v>7318.79999999998</v>
      </c>
      <c r="D32" s="6">
        <v>-67.1875000000001</v>
      </c>
      <c r="E32" s="5">
        <f t="shared" si="1"/>
        <v>7200.04999999999</v>
      </c>
    </row>
    <row r="33" spans="1:5">
      <c r="A33" s="2" t="s">
        <v>24</v>
      </c>
      <c r="B33" s="2">
        <v>250</v>
      </c>
      <c r="C33" s="5">
        <f t="shared" si="0"/>
        <v>7505.25999999998</v>
      </c>
      <c r="D33" s="6">
        <v>370.3125</v>
      </c>
      <c r="E33" s="5">
        <f t="shared" si="1"/>
        <v>7506.82249999999</v>
      </c>
    </row>
    <row r="34" spans="1:5">
      <c r="A34" s="2" t="s">
        <v>22</v>
      </c>
      <c r="B34" s="2">
        <v>-450</v>
      </c>
      <c r="C34" s="5">
        <f t="shared" si="0"/>
        <v>6991.71999999998</v>
      </c>
      <c r="D34" s="6">
        <v>-451.5625</v>
      </c>
      <c r="E34" s="5">
        <f t="shared" si="1"/>
        <v>6991.71999999999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W36"/>
  <sheetViews>
    <sheetView zoomScale="145" zoomScaleNormal="145" workbookViewId="0">
      <selection activeCell="G39" sqref="G39"/>
    </sheetView>
  </sheetViews>
  <sheetFormatPr defaultColWidth="9" defaultRowHeight="16.8"/>
  <cols>
    <col min="1" max="1" width="9" style="3"/>
    <col min="2" max="2" width="13.75" style="3"/>
    <col min="3" max="3" width="9" style="3" customWidth="1"/>
    <col min="4" max="8" width="9" style="3"/>
    <col min="9" max="9" width="9" style="3" customWidth="1"/>
    <col min="10" max="13" width="9" style="3" hidden="1" customWidth="1"/>
    <col min="14" max="15" width="9" style="3"/>
    <col min="16" max="21" width="9" style="3" hidden="1" customWidth="1"/>
    <col min="22" max="16384" width="9" style="3"/>
  </cols>
  <sheetData>
    <row r="1" s="1" customFormat="1" spans="1:2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64</v>
      </c>
    </row>
    <row r="2" s="1" customFormat="1" spans="1:23">
      <c r="A2" s="2" t="s">
        <v>22</v>
      </c>
      <c r="B2" s="2">
        <v>270</v>
      </c>
      <c r="C2" s="4">
        <v>1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>
        <v>9401</v>
      </c>
      <c r="W2" s="3">
        <f>IF(V2&lt;10500,1,0)</f>
        <v>1</v>
      </c>
    </row>
    <row r="3" s="1" customFormat="1" hidden="1" spans="1:23">
      <c r="A3" s="2" t="s">
        <v>23</v>
      </c>
      <c r="B3" s="2">
        <v>195</v>
      </c>
      <c r="C3" s="4">
        <v>1</v>
      </c>
      <c r="D3" s="4">
        <v>0</v>
      </c>
      <c r="E3" s="4">
        <v>1</v>
      </c>
      <c r="F3" s="4">
        <v>0</v>
      </c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14901</v>
      </c>
      <c r="W3" s="3"/>
    </row>
    <row r="4" s="1" customFormat="1" hidden="1" spans="1:23">
      <c r="A4" s="2" t="s">
        <v>24</v>
      </c>
      <c r="B4" s="2">
        <v>55</v>
      </c>
      <c r="C4" s="4">
        <v>1</v>
      </c>
      <c r="D4" s="4">
        <v>0</v>
      </c>
      <c r="E4" s="4">
        <v>0</v>
      </c>
      <c r="F4" s="4">
        <v>1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9901</v>
      </c>
      <c r="W4" s="3"/>
    </row>
    <row r="5" s="1" customFormat="1" spans="1:23">
      <c r="A5" s="2" t="s">
        <v>25</v>
      </c>
      <c r="B5" s="2">
        <v>-205</v>
      </c>
      <c r="C5" s="4">
        <v>1</v>
      </c>
      <c r="D5" s="4">
        <v>1</v>
      </c>
      <c r="E5" s="4">
        <v>0</v>
      </c>
      <c r="F5" s="4">
        <v>1</v>
      </c>
      <c r="G5" s="4">
        <v>1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1</v>
      </c>
      <c r="N5" s="4">
        <v>1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13901</v>
      </c>
      <c r="W5" s="3">
        <f>IF(V5&lt;10500,1,0)</f>
        <v>0</v>
      </c>
    </row>
    <row r="6" s="1" customFormat="1" spans="1:23">
      <c r="A6" s="2" t="s">
        <v>26</v>
      </c>
      <c r="B6" s="2">
        <v>275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12901</v>
      </c>
      <c r="W6" s="3">
        <f>IF(V6&lt;10500,1,0)</f>
        <v>0</v>
      </c>
    </row>
    <row r="7" s="1" customFormat="1" hidden="1" spans="1:23">
      <c r="A7" s="2" t="s">
        <v>27</v>
      </c>
      <c r="B7" s="2">
        <v>410</v>
      </c>
      <c r="C7" s="4">
        <v>1</v>
      </c>
      <c r="D7" s="4">
        <v>1</v>
      </c>
      <c r="E7" s="4">
        <v>0</v>
      </c>
      <c r="F7" s="4">
        <v>1</v>
      </c>
      <c r="G7" s="4">
        <v>1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12901</v>
      </c>
      <c r="W7" s="3"/>
    </row>
    <row r="8" s="1" customFormat="1" spans="1:23">
      <c r="A8" s="2" t="s">
        <v>28</v>
      </c>
      <c r="B8" s="2">
        <v>-425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1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</v>
      </c>
      <c r="U8" s="4">
        <v>1</v>
      </c>
      <c r="V8" s="4">
        <v>11901</v>
      </c>
      <c r="W8" s="3">
        <f>IF(V8&lt;10500,1,0)</f>
        <v>0</v>
      </c>
    </row>
    <row r="9" s="1" customFormat="1" hidden="1" spans="1:23">
      <c r="A9" s="2" t="s">
        <v>29</v>
      </c>
      <c r="B9" s="2">
        <v>-300</v>
      </c>
      <c r="C9" s="4">
        <v>1</v>
      </c>
      <c r="D9" s="4">
        <v>1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1</v>
      </c>
      <c r="R9" s="4">
        <v>1</v>
      </c>
      <c r="S9" s="4">
        <v>0</v>
      </c>
      <c r="T9" s="4">
        <v>1</v>
      </c>
      <c r="U9" s="4">
        <v>1</v>
      </c>
      <c r="V9" s="4">
        <v>14901</v>
      </c>
      <c r="W9" s="3"/>
    </row>
    <row r="10" s="1" customFormat="1" hidden="1" spans="1:23">
      <c r="A10" s="2" t="s">
        <v>30</v>
      </c>
      <c r="B10" s="2">
        <v>240</v>
      </c>
      <c r="C10" s="4">
        <v>1</v>
      </c>
      <c r="D10" s="4">
        <v>1</v>
      </c>
      <c r="E10" s="4">
        <v>0</v>
      </c>
      <c r="F10" s="4">
        <v>1</v>
      </c>
      <c r="G10" s="4">
        <v>1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1</v>
      </c>
      <c r="R10" s="4">
        <v>1</v>
      </c>
      <c r="S10" s="4">
        <v>0</v>
      </c>
      <c r="T10" s="4">
        <v>0</v>
      </c>
      <c r="U10" s="4">
        <v>1</v>
      </c>
      <c r="V10" s="4">
        <v>12901</v>
      </c>
      <c r="W10" s="3"/>
    </row>
    <row r="11" s="1" customFormat="1" spans="1:23">
      <c r="A11" s="2" t="s">
        <v>22</v>
      </c>
      <c r="B11" s="2">
        <v>40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1</v>
      </c>
      <c r="U11" s="4">
        <v>1</v>
      </c>
      <c r="V11" s="4">
        <v>14401</v>
      </c>
      <c r="W11" s="3">
        <f>IF(V11&lt;10500,1,0)</f>
        <v>0</v>
      </c>
    </row>
    <row r="12" s="2" customFormat="1" hidden="1" spans="1:23">
      <c r="A12" s="2" t="s">
        <v>23</v>
      </c>
      <c r="B12" s="2">
        <v>675</v>
      </c>
      <c r="C12" s="4">
        <v>1</v>
      </c>
      <c r="D12" s="4">
        <v>0</v>
      </c>
      <c r="E12" s="4">
        <v>0</v>
      </c>
      <c r="F12" s="4">
        <v>1</v>
      </c>
      <c r="G12" s="4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11901</v>
      </c>
      <c r="W12" s="3"/>
    </row>
    <row r="13" s="2" customFormat="1" hidden="1" spans="1:23">
      <c r="A13" s="2" t="s">
        <v>24</v>
      </c>
      <c r="B13" s="2">
        <v>565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1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15401</v>
      </c>
      <c r="W13" s="3"/>
    </row>
    <row r="14" s="2" customFormat="1" hidden="1" spans="1:23">
      <c r="A14" s="2" t="s">
        <v>25</v>
      </c>
      <c r="B14" s="2">
        <v>120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0</v>
      </c>
      <c r="V14" s="4">
        <v>12401</v>
      </c>
      <c r="W14" s="3"/>
    </row>
    <row r="15" s="2" customFormat="1" spans="1:23">
      <c r="A15" s="2" t="s">
        <v>26</v>
      </c>
      <c r="B15" s="2">
        <v>715</v>
      </c>
      <c r="C15" s="4">
        <v>1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12901</v>
      </c>
      <c r="W15" s="3">
        <f>IF(V15&lt;10500,1,0)</f>
        <v>0</v>
      </c>
    </row>
    <row r="16" s="2" customFormat="1" spans="1:23">
      <c r="A16" s="2" t="s">
        <v>27</v>
      </c>
      <c r="B16" s="2">
        <v>745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1</v>
      </c>
      <c r="V16" s="4">
        <v>12401</v>
      </c>
      <c r="W16" s="3">
        <f>IF(V16&lt;10500,1,0)</f>
        <v>0</v>
      </c>
    </row>
    <row r="17" s="2" customFormat="1" hidden="1" spans="1:23">
      <c r="A17" s="2" t="s">
        <v>22</v>
      </c>
      <c r="B17" s="2">
        <v>-4235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9401</v>
      </c>
      <c r="W17" s="3"/>
    </row>
    <row r="18" s="2" customFormat="1" hidden="1" spans="1:23">
      <c r="A18" s="2" t="s">
        <v>23</v>
      </c>
      <c r="B18" s="2">
        <v>165</v>
      </c>
      <c r="C18" s="4">
        <v>1</v>
      </c>
      <c r="D18" s="4">
        <v>1</v>
      </c>
      <c r="E18" s="4">
        <v>1</v>
      </c>
      <c r="F18" s="4">
        <v>1</v>
      </c>
      <c r="G18" s="4">
        <v>0</v>
      </c>
      <c r="H18" s="4">
        <v>1</v>
      </c>
      <c r="I18" s="4">
        <v>1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0</v>
      </c>
      <c r="P18" s="4">
        <v>0</v>
      </c>
      <c r="Q18" s="4">
        <v>0</v>
      </c>
      <c r="R18" s="4">
        <v>1</v>
      </c>
      <c r="S18" s="4">
        <v>0</v>
      </c>
      <c r="T18" s="4">
        <v>1</v>
      </c>
      <c r="U18" s="4">
        <v>0</v>
      </c>
      <c r="V18" s="4">
        <v>14901</v>
      </c>
      <c r="W18" s="3"/>
    </row>
    <row r="19" s="2" customFormat="1" spans="1:23">
      <c r="A19" s="2" t="s">
        <v>24</v>
      </c>
      <c r="B19" s="2">
        <v>65</v>
      </c>
      <c r="C19" s="4">
        <v>1</v>
      </c>
      <c r="D19" s="4">
        <v>1</v>
      </c>
      <c r="E19" s="4">
        <v>1</v>
      </c>
      <c r="F19" s="4">
        <v>1</v>
      </c>
      <c r="G19" s="4">
        <v>0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15901</v>
      </c>
      <c r="W19" s="3">
        <f>IF(V19&lt;10500,1,0)</f>
        <v>0</v>
      </c>
    </row>
    <row r="20" s="2" customFormat="1" hidden="1" spans="1:23">
      <c r="A20" s="2" t="s">
        <v>25</v>
      </c>
      <c r="B20" s="2">
        <v>-500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1</v>
      </c>
      <c r="V20" s="4">
        <v>9401</v>
      </c>
      <c r="W20" s="3"/>
    </row>
    <row r="21" s="2" customFormat="1" hidden="1" spans="1:23">
      <c r="A21" s="2" t="s">
        <v>26</v>
      </c>
      <c r="B21" s="2">
        <v>510</v>
      </c>
      <c r="C21" s="4">
        <v>1</v>
      </c>
      <c r="D21" s="4">
        <v>1</v>
      </c>
      <c r="E21" s="4">
        <v>0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9901</v>
      </c>
      <c r="W21" s="3"/>
    </row>
    <row r="22" s="2" customFormat="1" hidden="1" spans="1:23">
      <c r="A22" s="2" t="s">
        <v>22</v>
      </c>
      <c r="B22" s="2">
        <v>-465</v>
      </c>
      <c r="C22" s="4">
        <v>1</v>
      </c>
      <c r="D22" s="4">
        <v>1</v>
      </c>
      <c r="E22" s="4">
        <v>0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4">
        <v>1</v>
      </c>
      <c r="T22" s="4">
        <v>0</v>
      </c>
      <c r="U22" s="4">
        <v>1</v>
      </c>
      <c r="V22" s="4">
        <v>9901</v>
      </c>
      <c r="W22" s="3"/>
    </row>
    <row r="23" s="2" customFormat="1" spans="1:23">
      <c r="A23" s="2" t="s">
        <v>23</v>
      </c>
      <c r="B23" s="2">
        <v>125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9901</v>
      </c>
      <c r="W23" s="3">
        <f>IF(V23&lt;10500,1,0)</f>
        <v>1</v>
      </c>
    </row>
    <row r="24" s="2" customFormat="1" hidden="1" spans="1:23">
      <c r="A24" s="2" t="s">
        <v>24</v>
      </c>
      <c r="B24" s="2">
        <v>-150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1</v>
      </c>
      <c r="J24" s="4">
        <v>0</v>
      </c>
      <c r="K24" s="4">
        <v>0</v>
      </c>
      <c r="L24" s="4">
        <v>0</v>
      </c>
      <c r="M24" s="4">
        <v>1</v>
      </c>
      <c r="N24" s="4">
        <v>1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0</v>
      </c>
      <c r="U24" s="4">
        <v>0</v>
      </c>
      <c r="V24" s="4">
        <v>9901</v>
      </c>
      <c r="W24" s="3"/>
    </row>
    <row r="25" s="2" customFormat="1" hidden="1" spans="1:23">
      <c r="A25" s="2" t="s">
        <v>22</v>
      </c>
      <c r="B25" s="2">
        <v>720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1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8901</v>
      </c>
      <c r="W25" s="3"/>
    </row>
    <row r="26" s="2" customFormat="1" spans="1:23">
      <c r="A26" s="2" t="s">
        <v>23</v>
      </c>
      <c r="B26" s="2">
        <v>600</v>
      </c>
      <c r="C26" s="4">
        <v>1</v>
      </c>
      <c r="D26" s="4">
        <v>1</v>
      </c>
      <c r="E26" s="4">
        <v>0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4">
        <v>9401</v>
      </c>
      <c r="W26" s="3">
        <f>IF(V26&lt;10500,1,0)</f>
        <v>1</v>
      </c>
    </row>
    <row r="27" s="2" customFormat="1" hidden="1" spans="1:23">
      <c r="A27" s="2" t="s">
        <v>22</v>
      </c>
      <c r="B27" s="2">
        <v>-425</v>
      </c>
      <c r="C27" s="4">
        <v>1</v>
      </c>
      <c r="D27" s="4">
        <v>1</v>
      </c>
      <c r="E27" s="4">
        <v>0</v>
      </c>
      <c r="F27" s="4">
        <v>0</v>
      </c>
      <c r="G27" s="4">
        <v>0</v>
      </c>
      <c r="H27" s="4">
        <v>1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9901</v>
      </c>
      <c r="W27" s="3"/>
    </row>
    <row r="28" s="2" customFormat="1" spans="1:23">
      <c r="A28" s="2" t="s">
        <v>23</v>
      </c>
      <c r="B28" s="2">
        <v>570</v>
      </c>
      <c r="C28" s="4">
        <v>1</v>
      </c>
      <c r="D28" s="4">
        <v>0</v>
      </c>
      <c r="E28" s="4">
        <v>1</v>
      </c>
      <c r="F28" s="4">
        <v>0</v>
      </c>
      <c r="G28" s="4">
        <v>1</v>
      </c>
      <c r="H28" s="4">
        <v>1</v>
      </c>
      <c r="I28" s="4">
        <v>1</v>
      </c>
      <c r="J28" s="4">
        <v>0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0</v>
      </c>
      <c r="Q28" s="4">
        <v>1</v>
      </c>
      <c r="R28" s="4">
        <v>1</v>
      </c>
      <c r="S28" s="4">
        <v>0</v>
      </c>
      <c r="T28" s="4">
        <v>0</v>
      </c>
      <c r="U28" s="4">
        <v>0</v>
      </c>
      <c r="V28" s="4">
        <v>13901</v>
      </c>
      <c r="W28" s="3">
        <f>IF(V28&lt;10500,1,0)</f>
        <v>0</v>
      </c>
    </row>
    <row r="29" s="2" customFormat="1" hidden="1" spans="1:23">
      <c r="A29" s="2" t="s">
        <v>24</v>
      </c>
      <c r="B29" s="2">
        <v>95</v>
      </c>
      <c r="C29" s="4">
        <v>1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1</v>
      </c>
      <c r="R29" s="4">
        <v>0</v>
      </c>
      <c r="S29" s="4">
        <v>1</v>
      </c>
      <c r="T29" s="4">
        <v>1</v>
      </c>
      <c r="U29" s="4">
        <v>0</v>
      </c>
      <c r="V29" s="4">
        <v>10401</v>
      </c>
      <c r="W29" s="3"/>
    </row>
    <row r="30" s="2" customFormat="1" hidden="1" spans="1:23">
      <c r="A30" s="2" t="s">
        <v>22</v>
      </c>
      <c r="B30" s="2">
        <v>180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1</v>
      </c>
      <c r="Q30" s="4">
        <v>1</v>
      </c>
      <c r="R30" s="4">
        <v>1</v>
      </c>
      <c r="S30" s="4">
        <v>0</v>
      </c>
      <c r="T30" s="4">
        <v>1</v>
      </c>
      <c r="U30" s="4">
        <v>0</v>
      </c>
      <c r="V30" s="4">
        <v>9901</v>
      </c>
      <c r="W30" s="3"/>
    </row>
    <row r="31" s="2" customFormat="1" hidden="1" spans="1:23">
      <c r="A31" s="2" t="s">
        <v>23</v>
      </c>
      <c r="B31" s="2">
        <v>190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10401</v>
      </c>
      <c r="W31" s="3"/>
    </row>
    <row r="32" s="2" customFormat="1" spans="1:23">
      <c r="A32" s="2" t="s">
        <v>24</v>
      </c>
      <c r="B32" s="2">
        <v>535</v>
      </c>
      <c r="C32" s="4">
        <v>1</v>
      </c>
      <c r="D32" s="4">
        <v>0</v>
      </c>
      <c r="E32" s="4">
        <v>0</v>
      </c>
      <c r="F32" s="4">
        <v>1</v>
      </c>
      <c r="G32" s="4">
        <v>1</v>
      </c>
      <c r="H32" s="4">
        <v>0</v>
      </c>
      <c r="I32" s="4">
        <v>1</v>
      </c>
      <c r="J32" s="4">
        <v>0</v>
      </c>
      <c r="K32" s="4">
        <v>0</v>
      </c>
      <c r="L32" s="4">
        <v>0</v>
      </c>
      <c r="M32" s="4">
        <v>1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4">
        <v>9901</v>
      </c>
      <c r="W32" s="3">
        <f>IF(V32&lt;10500,1,0)</f>
        <v>1</v>
      </c>
    </row>
    <row r="33" s="2" customFormat="1" hidden="1" spans="1:23">
      <c r="A33" s="2" t="s">
        <v>22</v>
      </c>
      <c r="B33" s="2">
        <v>-280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11401</v>
      </c>
      <c r="W33" s="3"/>
    </row>
    <row r="34" s="2" customFormat="1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="2" customFormat="1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="2" customFormat="1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记录备注</vt:lpstr>
      <vt:lpstr>额外阳光消耗</vt:lpstr>
      <vt:lpstr>模型参数</vt:lpstr>
      <vt:lpstr>折线对比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2025-02-03T09:50:00Z</dcterms:created>
  <dcterms:modified xsi:type="dcterms:W3CDTF">2026-02-17T20:18:06Z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2052-12.1.22553.22553</vt:lpwstr>
  </property>
</Properties>
</file>