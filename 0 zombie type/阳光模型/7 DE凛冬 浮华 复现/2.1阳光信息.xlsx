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"/>
  </bookViews>
  <sheets>
    <sheet name="汇总" sheetId="4" r:id="rId1"/>
    <sheet name="模型参数 dlt" sheetId="5" r:id="rId2"/>
    <sheet name="折线对比" sheetId="11" r:id="rId3"/>
    <sheet name="破阵率" sheetId="12" r:id="rId4"/>
  </sheets>
  <calcPr calcId="144525"/>
</workbook>
</file>

<file path=xl/sharedStrings.xml><?xml version="1.0" encoding="utf-8"?>
<sst xmlns="http://schemas.openxmlformats.org/spreadsheetml/2006/main" count="177" uniqueCount="120">
  <si>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</si>
  <si>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</si>
  <si>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</si>
  <si>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</si>
  <si>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</si>
  <si>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</si>
  <si>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</si>
  <si>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</si>
  <si>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</si>
  <si>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</si>
  <si>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</si>
  <si>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</si>
  <si>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</si>
  <si>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</si>
  <si>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</si>
  <si>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</si>
  <si>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</si>
  <si>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</si>
  <si>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</si>
  <si>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</si>
  <si>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</si>
  <si>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</si>
  <si>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</si>
  <si>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</si>
  <si>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</si>
  <si>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</si>
  <si>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</si>
  <si>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</si>
  <si>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</si>
  <si>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</si>
  <si>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</si>
  <si>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</si>
  <si>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</si>
  <si>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</si>
  <si>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</si>
  <si>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</si>
  <si>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</si>
  <si>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</si>
  <si>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</si>
  <si>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</si>
  <si>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</si>
  <si>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</si>
  <si>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</si>
  <si>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</si>
  <si>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</si>
  <si>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</si>
  <si>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</si>
  <si>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2052f</t>
  </si>
  <si>
    <t>2054f</t>
  </si>
  <si>
    <t>2056f</t>
  </si>
  <si>
    <t>2058f</t>
  </si>
  <si>
    <t>2060f</t>
  </si>
  <si>
    <t>2062f</t>
  </si>
  <si>
    <t>2064f</t>
  </si>
  <si>
    <t>2066f</t>
  </si>
  <si>
    <t>2068f</t>
  </si>
  <si>
    <t>2070f</t>
  </si>
  <si>
    <t>2072f</t>
  </si>
  <si>
    <t>2074f</t>
  </si>
  <si>
    <t>2076f</t>
  </si>
  <si>
    <t>2078f</t>
  </si>
  <si>
    <t>2080f</t>
  </si>
  <si>
    <t>2082f</t>
  </si>
  <si>
    <t>2084f</t>
  </si>
  <si>
    <t>2086f</t>
  </si>
  <si>
    <t>2088f</t>
  </si>
  <si>
    <t>2090f</t>
  </si>
  <si>
    <t>2092f</t>
  </si>
  <si>
    <t>2094f</t>
  </si>
  <si>
    <t>2096f</t>
  </si>
  <si>
    <t>2098f</t>
  </si>
  <si>
    <t>2100f</t>
  </si>
  <si>
    <t>2102f</t>
  </si>
  <si>
    <t>2104f</t>
  </si>
  <si>
    <t>2106f</t>
  </si>
  <si>
    <t>2108f</t>
  </si>
  <si>
    <t>2110f</t>
  </si>
  <si>
    <t>2112f</t>
  </si>
  <si>
    <t>2114f</t>
  </si>
  <si>
    <t>2116f</t>
  </si>
  <si>
    <t>2118f</t>
  </si>
  <si>
    <t>2120f</t>
  </si>
  <si>
    <t>2122f</t>
  </si>
  <si>
    <t>2124f</t>
  </si>
  <si>
    <t>2126f</t>
  </si>
  <si>
    <t>2128f</t>
  </si>
  <si>
    <t>2130f</t>
  </si>
  <si>
    <t>2132f</t>
  </si>
  <si>
    <t>2134f</t>
  </si>
  <si>
    <t>2136f</t>
  </si>
  <si>
    <t>2138f</t>
  </si>
  <si>
    <t>2140f</t>
  </si>
  <si>
    <t>2142f</t>
  </si>
  <si>
    <t>2144f</t>
  </si>
  <si>
    <t>2146f</t>
  </si>
  <si>
    <t>2148f</t>
  </si>
  <si>
    <t>2150f</t>
  </si>
  <si>
    <t>new +/-</t>
  </si>
  <si>
    <t>single 1/0</t>
  </si>
  <si>
    <t>cumulative 1/0</t>
  </si>
  <si>
    <t>Intercept</t>
  </si>
  <si>
    <r>
      <rPr>
        <sz val="10.5"/>
        <rFont val="宋体"/>
        <charset val="134"/>
      </rPr>
      <t>红眼</t>
    </r>
    <r>
      <rPr>
        <sz val="10.5"/>
        <rFont val="Segoe UI"/>
        <charset val="134"/>
      </rPr>
      <t>:</t>
    </r>
    <r>
      <rPr>
        <sz val="10.5"/>
        <rFont val="宋体"/>
        <charset val="134"/>
      </rPr>
      <t>橄榄</t>
    </r>
  </si>
  <si>
    <t>期望</t>
  </si>
  <si>
    <r>
      <rPr>
        <sz val="10.5"/>
        <rFont val="宋体"/>
        <charset val="134"/>
      </rPr>
      <t>红眼</t>
    </r>
    <r>
      <rPr>
        <sz val="10.5"/>
        <rFont val="Segoe UI"/>
        <charset val="134"/>
      </rPr>
      <t>:</t>
    </r>
    <r>
      <rPr>
        <sz val="10.5"/>
        <rFont val="宋体"/>
        <charset val="134"/>
      </rPr>
      <t>铁桶</t>
    </r>
  </si>
  <si>
    <r>
      <rPr>
        <sz val="10.5"/>
        <rFont val="宋体"/>
        <charset val="134"/>
      </rPr>
      <t>橄榄</t>
    </r>
    <r>
      <rPr>
        <sz val="10.5"/>
        <rFont val="Segoe UI"/>
        <charset val="134"/>
      </rPr>
      <t>:</t>
    </r>
    <r>
      <rPr>
        <sz val="10.5"/>
        <rFont val="宋体"/>
        <charset val="134"/>
      </rPr>
      <t>气球</t>
    </r>
  </si>
  <si>
    <r>
      <rPr>
        <sz val="10.5"/>
        <rFont val="宋体"/>
        <charset val="134"/>
      </rPr>
      <t>橄榄</t>
    </r>
    <r>
      <rPr>
        <sz val="10.5"/>
        <rFont val="Segoe UI"/>
        <charset val="134"/>
      </rPr>
      <t>:</t>
    </r>
    <r>
      <rPr>
        <sz val="10.5"/>
        <rFont val="宋体"/>
        <charset val="134"/>
      </rPr>
      <t>冰车</t>
    </r>
  </si>
  <si>
    <t>p2</t>
  </si>
  <si>
    <t>p1</t>
  </si>
  <si>
    <t>p0</t>
  </si>
  <si>
    <t>p+</t>
  </si>
  <si>
    <t>p-</t>
  </si>
  <si>
    <t>new_pred</t>
  </si>
  <si>
    <t>sin_pred</t>
  </si>
  <si>
    <t>cum_pred</t>
  </si>
  <si>
    <t>new</t>
  </si>
  <si>
    <t>single</t>
  </si>
  <si>
    <t>cum</t>
  </si>
  <si>
    <t>百f</t>
  </si>
  <si>
    <t>千f</t>
  </si>
  <si>
    <t>万f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</si>
</sst>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Segoe UI"/>
      <charset val="134"/>
    </font>
    <font>
      <sz val="10.5"/>
      <name val="宋体"/>
      <charset val="134"/>
    </font>
    <font>
      <sz val="10.5"/>
      <color rgb="FFCCCCCC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Delta Sun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折线对比!$B$3:$B$77</c:f>
              <c:numCache>
                <c:formatCode>General</c:formatCode>
                <c:ptCount val="75"/>
                <c:pt idx="0">
                  <c:v>1450</c:v>
                </c:pt>
                <c:pt idx="1">
                  <c:v>800</c:v>
                </c:pt>
                <c:pt idx="2">
                  <c:v>1975</c:v>
                </c:pt>
                <c:pt idx="3">
                  <c:v>950</c:v>
                </c:pt>
                <c:pt idx="4">
                  <c:v>2000</c:v>
                </c:pt>
                <c:pt idx="5">
                  <c:v>1000</c:v>
                </c:pt>
                <c:pt idx="6">
                  <c:v>1025</c:v>
                </c:pt>
                <c:pt idx="7">
                  <c:v>2400</c:v>
                </c:pt>
                <c:pt idx="8">
                  <c:v>1800</c:v>
                </c:pt>
                <c:pt idx="9">
                  <c:v>725</c:v>
                </c:pt>
                <c:pt idx="10">
                  <c:v>225</c:v>
                </c:pt>
                <c:pt idx="11">
                  <c:v>900</c:v>
                </c:pt>
                <c:pt idx="12">
                  <c:v>625</c:v>
                </c:pt>
                <c:pt idx="13">
                  <c:v>875</c:v>
                </c:pt>
                <c:pt idx="14">
                  <c:v>1725</c:v>
                </c:pt>
                <c:pt idx="15">
                  <c:v>1800</c:v>
                </c:pt>
                <c:pt idx="16">
                  <c:v>75</c:v>
                </c:pt>
                <c:pt idx="17">
                  <c:v>-500</c:v>
                </c:pt>
                <c:pt idx="18">
                  <c:v>600</c:v>
                </c:pt>
                <c:pt idx="19">
                  <c:v>975</c:v>
                </c:pt>
                <c:pt idx="20">
                  <c:v>450</c:v>
                </c:pt>
                <c:pt idx="21">
                  <c:v>2225</c:v>
                </c:pt>
                <c:pt idx="22">
                  <c:v>1725</c:v>
                </c:pt>
                <c:pt idx="23">
                  <c:v>3250</c:v>
                </c:pt>
                <c:pt idx="24">
                  <c:v>2100</c:v>
                </c:pt>
                <c:pt idx="25">
                  <c:v>900</c:v>
                </c:pt>
                <c:pt idx="26">
                  <c:v>925</c:v>
                </c:pt>
                <c:pt idx="27">
                  <c:v>275</c:v>
                </c:pt>
                <c:pt idx="28">
                  <c:v>-25</c:v>
                </c:pt>
                <c:pt idx="29">
                  <c:v>1300</c:v>
                </c:pt>
                <c:pt idx="30">
                  <c:v>725</c:v>
                </c:pt>
                <c:pt idx="31">
                  <c:v>825</c:v>
                </c:pt>
                <c:pt idx="32">
                  <c:v>-575</c:v>
                </c:pt>
                <c:pt idx="33">
                  <c:v>1150</c:v>
                </c:pt>
                <c:pt idx="34">
                  <c:v>-150</c:v>
                </c:pt>
                <c:pt idx="35">
                  <c:v>-75</c:v>
                </c:pt>
                <c:pt idx="36">
                  <c:v>1325</c:v>
                </c:pt>
                <c:pt idx="37">
                  <c:v>625</c:v>
                </c:pt>
                <c:pt idx="38">
                  <c:v>-50</c:v>
                </c:pt>
                <c:pt idx="39">
                  <c:v>1125</c:v>
                </c:pt>
                <c:pt idx="40">
                  <c:v>250</c:v>
                </c:pt>
                <c:pt idx="41">
                  <c:v>225</c:v>
                </c:pt>
                <c:pt idx="42">
                  <c:v>1400</c:v>
                </c:pt>
                <c:pt idx="43">
                  <c:v>675</c:v>
                </c:pt>
                <c:pt idx="44">
                  <c:v>-75</c:v>
                </c:pt>
                <c:pt idx="45">
                  <c:v>2850</c:v>
                </c:pt>
                <c:pt idx="46">
                  <c:v>175</c:v>
                </c:pt>
                <c:pt idx="47">
                  <c:v>1625</c:v>
                </c:pt>
                <c:pt idx="48">
                  <c:v>1650</c:v>
                </c:pt>
                <c:pt idx="49">
                  <c:v>1050</c:v>
                </c:pt>
                <c:pt idx="50">
                  <c:v>675</c:v>
                </c:pt>
                <c:pt idx="51">
                  <c:v>600</c:v>
                </c:pt>
                <c:pt idx="52">
                  <c:v>325</c:v>
                </c:pt>
                <c:pt idx="53">
                  <c:v>875</c:v>
                </c:pt>
                <c:pt idx="54">
                  <c:v>925</c:v>
                </c:pt>
                <c:pt idx="55">
                  <c:v>825</c:v>
                </c:pt>
                <c:pt idx="56">
                  <c:v>725</c:v>
                </c:pt>
                <c:pt idx="57">
                  <c:v>675</c:v>
                </c:pt>
                <c:pt idx="58">
                  <c:v>275</c:v>
                </c:pt>
                <c:pt idx="59">
                  <c:v>-775</c:v>
                </c:pt>
                <c:pt idx="60">
                  <c:v>825</c:v>
                </c:pt>
                <c:pt idx="61">
                  <c:v>850</c:v>
                </c:pt>
                <c:pt idx="62">
                  <c:v>-475</c:v>
                </c:pt>
                <c:pt idx="63">
                  <c:v>375</c:v>
                </c:pt>
                <c:pt idx="64">
                  <c:v>875</c:v>
                </c:pt>
                <c:pt idx="65">
                  <c:v>2775</c:v>
                </c:pt>
                <c:pt idx="66">
                  <c:v>775</c:v>
                </c:pt>
                <c:pt idx="67">
                  <c:v>1150</c:v>
                </c:pt>
                <c:pt idx="68">
                  <c:v>1100</c:v>
                </c:pt>
                <c:pt idx="69">
                  <c:v>975</c:v>
                </c:pt>
                <c:pt idx="70">
                  <c:v>700</c:v>
                </c:pt>
                <c:pt idx="71">
                  <c:v>1450</c:v>
                </c:pt>
                <c:pt idx="72">
                  <c:v>1600</c:v>
                </c:pt>
                <c:pt idx="73">
                  <c:v>850</c:v>
                </c:pt>
                <c:pt idx="74">
                  <c:v>700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折线对比!$C$1</c:f>
              <c:strCache>
                <c:ptCount val="1"/>
                <c:pt idx="0">
                  <c:v>new_pred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折线对比!$C$3:$C$77</c:f>
              <c:numCache>
                <c:formatCode>General</c:formatCode>
                <c:ptCount val="75"/>
                <c:pt idx="0">
                  <c:v>1299.43761113621</c:v>
                </c:pt>
                <c:pt idx="1">
                  <c:v>842.800400227204</c:v>
                </c:pt>
                <c:pt idx="2">
                  <c:v>2219.59912678437</c:v>
                </c:pt>
                <c:pt idx="3">
                  <c:v>1060.12295064961</c:v>
                </c:pt>
                <c:pt idx="4">
                  <c:v>2211.14469700473</c:v>
                </c:pt>
                <c:pt idx="5">
                  <c:v>1062.17908900537</c:v>
                </c:pt>
                <c:pt idx="6">
                  <c:v>859.26107854107</c:v>
                </c:pt>
                <c:pt idx="7">
                  <c:v>2640.73083271472</c:v>
                </c:pt>
                <c:pt idx="8">
                  <c:v>1673.50376115783</c:v>
                </c:pt>
                <c:pt idx="9">
                  <c:v>154.621172907596</c:v>
                </c:pt>
                <c:pt idx="10">
                  <c:v>472.544570297949</c:v>
                </c:pt>
                <c:pt idx="11">
                  <c:v>760.377520250509</c:v>
                </c:pt>
                <c:pt idx="12">
                  <c:v>675.801430440634</c:v>
                </c:pt>
                <c:pt idx="13">
                  <c:v>1063.93709372255</c:v>
                </c:pt>
                <c:pt idx="14">
                  <c:v>1892.882449936</c:v>
                </c:pt>
                <c:pt idx="15">
                  <c:v>1521.12659999682</c:v>
                </c:pt>
                <c:pt idx="16">
                  <c:v>-454.57773422199</c:v>
                </c:pt>
                <c:pt idx="17">
                  <c:v>-454.57773422199</c:v>
                </c:pt>
                <c:pt idx="18">
                  <c:v>537.523538077771</c:v>
                </c:pt>
                <c:pt idx="19">
                  <c:v>684.214952869635</c:v>
                </c:pt>
                <c:pt idx="20">
                  <c:v>298.208877591166</c:v>
                </c:pt>
                <c:pt idx="21">
                  <c:v>1880.23591469508</c:v>
                </c:pt>
                <c:pt idx="22">
                  <c:v>1740.50528877499</c:v>
                </c:pt>
                <c:pt idx="23">
                  <c:v>2757.24006263128</c:v>
                </c:pt>
                <c:pt idx="24">
                  <c:v>2199.66315507594</c:v>
                </c:pt>
                <c:pt idx="25">
                  <c:v>684.214952869635</c:v>
                </c:pt>
                <c:pt idx="26">
                  <c:v>769.802923823537</c:v>
                </c:pt>
                <c:pt idx="27">
                  <c:v>311.109574558761</c:v>
                </c:pt>
                <c:pt idx="28">
                  <c:v>138.16049459373</c:v>
                </c:pt>
                <c:pt idx="29">
                  <c:v>1464.64584259771</c:v>
                </c:pt>
                <c:pt idx="30">
                  <c:v>1126.44762382054</c:v>
                </c:pt>
                <c:pt idx="31">
                  <c:v>472.544570297949</c:v>
                </c:pt>
                <c:pt idx="32">
                  <c:v>-227.909608976304</c:v>
                </c:pt>
                <c:pt idx="33">
                  <c:v>675.801430440634</c:v>
                </c:pt>
                <c:pt idx="34">
                  <c:v>318.144849299599</c:v>
                </c:pt>
                <c:pt idx="35">
                  <c:v>-673.956423000161</c:v>
                </c:pt>
                <c:pt idx="36">
                  <c:v>871.907613781989</c:v>
                </c:pt>
                <c:pt idx="37">
                  <c:v>679.276723835201</c:v>
                </c:pt>
                <c:pt idx="38">
                  <c:v>314.330706226652</c:v>
                </c:pt>
                <c:pt idx="39">
                  <c:v>1137.97007309997</c:v>
                </c:pt>
                <c:pt idx="40">
                  <c:v>313.206620265166</c:v>
                </c:pt>
                <c:pt idx="41">
                  <c:v>871.907613781989</c:v>
                </c:pt>
                <c:pt idx="42">
                  <c:v>1365.76228430715</c:v>
                </c:pt>
                <c:pt idx="43">
                  <c:v>521.062859763905</c:v>
                </c:pt>
                <c:pt idx="44">
                  <c:v>-84.693487579008</c:v>
                </c:pt>
                <c:pt idx="45">
                  <c:v>2006.44386145265</c:v>
                </c:pt>
                <c:pt idx="46">
                  <c:v>373.999861685768</c:v>
                </c:pt>
                <c:pt idx="47">
                  <c:v>1684.02453137588</c:v>
                </c:pt>
                <c:pt idx="48">
                  <c:v>1237.97771735202</c:v>
                </c:pt>
                <c:pt idx="49">
                  <c:v>1142.90830213441</c:v>
                </c:pt>
                <c:pt idx="50">
                  <c:v>581.927994638391</c:v>
                </c:pt>
                <c:pt idx="51">
                  <c:v>569.281459397472</c:v>
                </c:pt>
                <c:pt idx="52">
                  <c:v>293.270648556732</c:v>
                </c:pt>
                <c:pt idx="53">
                  <c:v>1444.26757454126</c:v>
                </c:pt>
                <c:pt idx="54">
                  <c:v>1564.21119050174</c:v>
                </c:pt>
                <c:pt idx="55">
                  <c:v>903.593641647806</c:v>
                </c:pt>
                <c:pt idx="56">
                  <c:v>919.715470283292</c:v>
                </c:pt>
                <c:pt idx="57">
                  <c:v>641.258300419127</c:v>
                </c:pt>
                <c:pt idx="58">
                  <c:v>357.611076825786</c:v>
                </c:pt>
                <c:pt idx="59">
                  <c:v>150.807029834649</c:v>
                </c:pt>
                <c:pt idx="60">
                  <c:v>1058.95795733748</c:v>
                </c:pt>
                <c:pt idx="61">
                  <c:v>959.520547487859</c:v>
                </c:pt>
                <c:pt idx="62">
                  <c:v>-186.980445810251</c:v>
                </c:pt>
                <c:pt idx="63">
                  <c:v>456.422741662462</c:v>
                </c:pt>
                <c:pt idx="64">
                  <c:v>405.757783005469</c:v>
                </c:pt>
                <c:pt idx="65">
                  <c:v>2006.44386145265</c:v>
                </c:pt>
                <c:pt idx="66">
                  <c:v>675.801430440634</c:v>
                </c:pt>
                <c:pt idx="67">
                  <c:v>1564.21119050174</c:v>
                </c:pt>
                <c:pt idx="68">
                  <c:v>903.151345299789</c:v>
                </c:pt>
                <c:pt idx="69">
                  <c:v>1182.37452966059</c:v>
                </c:pt>
                <c:pt idx="70">
                  <c:v>847.990453956379</c:v>
                </c:pt>
                <c:pt idx="71">
                  <c:v>1452.68109697026</c:v>
                </c:pt>
                <c:pt idx="72">
                  <c:v>1783.58987927991</c:v>
                </c:pt>
                <c:pt idx="73">
                  <c:v>641.258300419127</c:v>
                </c:pt>
                <c:pt idx="74">
                  <c:v>679.276723835201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折线对比!$D$1</c:f>
              <c:strCache>
                <c:ptCount val="1"/>
                <c:pt idx="0">
                  <c:v>sin_pred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折线对比!$D$3:$D$77</c:f>
              <c:numCache>
                <c:formatCode>General</c:formatCode>
                <c:ptCount val="75"/>
                <c:pt idx="0">
                  <c:v>1711.49079311279</c:v>
                </c:pt>
                <c:pt idx="1">
                  <c:v>877.915503832058</c:v>
                </c:pt>
                <c:pt idx="2">
                  <c:v>2101.74153271029</c:v>
                </c:pt>
                <c:pt idx="3">
                  <c:v>1642.25754853092</c:v>
                </c:pt>
                <c:pt idx="4">
                  <c:v>2100.43586890581</c:v>
                </c:pt>
                <c:pt idx="5">
                  <c:v>1059.41915846965</c:v>
                </c:pt>
                <c:pt idx="6">
                  <c:v>808.682259250189</c:v>
                </c:pt>
                <c:pt idx="7">
                  <c:v>2100.43586890581</c:v>
                </c:pt>
                <c:pt idx="8">
                  <c:v>1296.42325621322</c:v>
                </c:pt>
                <c:pt idx="9">
                  <c:v>21.8426635151099</c:v>
                </c:pt>
                <c:pt idx="10">
                  <c:v>713.584866151964</c:v>
                </c:pt>
                <c:pt idx="11">
                  <c:v>436.910200414673</c:v>
                </c:pt>
                <c:pt idx="12">
                  <c:v>825.855276207694</c:v>
                </c:pt>
                <c:pt idx="13">
                  <c:v>1460.75389389332</c:v>
                </c:pt>
                <c:pt idx="14">
                  <c:v>1547.16015543269</c:v>
                </c:pt>
                <c:pt idx="15">
                  <c:v>1347.1778200331</c:v>
                </c:pt>
                <c:pt idx="16">
                  <c:v>-368.408076082397</c:v>
                </c:pt>
                <c:pt idx="17">
                  <c:v>-368.408076082397</c:v>
                </c:pt>
                <c:pt idx="18">
                  <c:v>367.676955832804</c:v>
                </c:pt>
                <c:pt idx="19">
                  <c:v>757.927695430311</c:v>
                </c:pt>
                <c:pt idx="20">
                  <c:v>436.910200414673</c:v>
                </c:pt>
                <c:pt idx="21">
                  <c:v>1365.65650079509</c:v>
                </c:pt>
                <c:pt idx="22">
                  <c:v>1528.6814746707</c:v>
                </c:pt>
                <c:pt idx="23">
                  <c:v>2836.52090082101</c:v>
                </c:pt>
                <c:pt idx="24">
                  <c:v>2283.24518734789</c:v>
                </c:pt>
                <c:pt idx="25">
                  <c:v>757.927695430311</c:v>
                </c:pt>
                <c:pt idx="26">
                  <c:v>906.172516615721</c:v>
                </c:pt>
                <c:pt idx="27">
                  <c:v>724.668861978121</c:v>
                </c:pt>
                <c:pt idx="28">
                  <c:v>21.8426635151099</c:v>
                </c:pt>
                <c:pt idx="29">
                  <c:v>1380.43665348529</c:v>
                </c:pt>
                <c:pt idx="30">
                  <c:v>1008.66459464977</c:v>
                </c:pt>
                <c:pt idx="31">
                  <c:v>713.584866151964</c:v>
                </c:pt>
                <c:pt idx="32">
                  <c:v>-549.911730719996</c:v>
                </c:pt>
                <c:pt idx="33">
                  <c:v>895.088520789563</c:v>
                </c:pt>
                <c:pt idx="34">
                  <c:v>186.173301195205</c:v>
                </c:pt>
                <c:pt idx="35">
                  <c:v>-549.911730719996</c:v>
                </c:pt>
                <c:pt idx="36">
                  <c:v>1059.41915846965</c:v>
                </c:pt>
                <c:pt idx="37">
                  <c:v>713.584866151964</c:v>
                </c:pt>
                <c:pt idx="38">
                  <c:v>367.676955832804</c:v>
                </c:pt>
                <c:pt idx="39">
                  <c:v>825.855276207694</c:v>
                </c:pt>
                <c:pt idx="40">
                  <c:v>72.5972273349884</c:v>
                </c:pt>
                <c:pt idx="41">
                  <c:v>1059.41915846965</c:v>
                </c:pt>
                <c:pt idx="42">
                  <c:v>1008.66459464977</c:v>
                </c:pt>
                <c:pt idx="43">
                  <c:v>436.910200414673</c:v>
                </c:pt>
                <c:pt idx="44">
                  <c:v>21.8426635151099</c:v>
                </c:pt>
                <c:pt idx="45">
                  <c:v>1607.30705758723</c:v>
                </c:pt>
                <c:pt idx="46">
                  <c:v>203.346318152709</c:v>
                </c:pt>
                <c:pt idx="47">
                  <c:v>1631.17355270476</c:v>
                </c:pt>
                <c:pt idx="48">
                  <c:v>1561.94030812289</c:v>
                </c:pt>
                <c:pt idx="49">
                  <c:v>939.43135006791</c:v>
                </c:pt>
                <c:pt idx="50">
                  <c:v>984.798099532249</c:v>
                </c:pt>
                <c:pt idx="51">
                  <c:v>803.29444489465</c:v>
                </c:pt>
                <c:pt idx="52">
                  <c:v>254.100881972587</c:v>
                </c:pt>
                <c:pt idx="53">
                  <c:v>871.222025672033</c:v>
                </c:pt>
                <c:pt idx="54">
                  <c:v>1495.0366475315</c:v>
                </c:pt>
                <c:pt idx="55">
                  <c:v>939.43135006791</c:v>
                </c:pt>
                <c:pt idx="56">
                  <c:v>1008.66459464977</c:v>
                </c:pt>
                <c:pt idx="57">
                  <c:v>820.467461852154</c:v>
                </c:pt>
                <c:pt idx="58">
                  <c:v>758.951615616302</c:v>
                </c:pt>
                <c:pt idx="59">
                  <c:v>203.346318152709</c:v>
                </c:pt>
                <c:pt idx="60">
                  <c:v>1347.1778200331</c:v>
                </c:pt>
                <c:pt idx="61">
                  <c:v>1442.97641990713</c:v>
                </c:pt>
                <c:pt idx="62">
                  <c:v>248.713067617048</c:v>
                </c:pt>
                <c:pt idx="63">
                  <c:v>644.351621570095</c:v>
                </c:pt>
                <c:pt idx="64">
                  <c:v>638.963807214555</c:v>
                </c:pt>
                <c:pt idx="65">
                  <c:v>1607.30705758723</c:v>
                </c:pt>
                <c:pt idx="66">
                  <c:v>895.088520789563</c:v>
                </c:pt>
                <c:pt idx="67">
                  <c:v>1425.80340294963</c:v>
                </c:pt>
                <c:pt idx="68">
                  <c:v>317.946312198917</c:v>
                </c:pt>
                <c:pt idx="69">
                  <c:v>1442.97641990713</c:v>
                </c:pt>
                <c:pt idx="70">
                  <c:v>889.700706434023</c:v>
                </c:pt>
                <c:pt idx="71">
                  <c:v>872.527689476519</c:v>
                </c:pt>
                <c:pt idx="72">
                  <c:v>1676.5403021691</c:v>
                </c:pt>
                <c:pt idx="73">
                  <c:v>820.467461852154</c:v>
                </c:pt>
                <c:pt idx="74">
                  <c:v>644.351621570095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折线对比!$E$1</c:f>
              <c:strCache>
                <c:ptCount val="1"/>
                <c:pt idx="0">
                  <c:v>cum_pred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yVal>
            <c:numRef>
              <c:f>折线对比!$E$3:$E$77</c:f>
              <c:numCache>
                <c:formatCode>General</c:formatCode>
                <c:ptCount val="75"/>
                <c:pt idx="0">
                  <c:v>2037.86484105371</c:v>
                </c:pt>
                <c:pt idx="1">
                  <c:v>552.27158454912</c:v>
                </c:pt>
                <c:pt idx="2">
                  <c:v>2125.14805126236</c:v>
                </c:pt>
                <c:pt idx="3">
                  <c:v>1725.36275693816</c:v>
                </c:pt>
                <c:pt idx="4">
                  <c:v>2144.11099218758</c:v>
                </c:pt>
                <c:pt idx="5">
                  <c:v>1089.78305497675</c:v>
                </c:pt>
                <c:pt idx="6">
                  <c:v>239.76950043358</c:v>
                </c:pt>
                <c:pt idx="7">
                  <c:v>2144.11099218754</c:v>
                </c:pt>
                <c:pt idx="8">
                  <c:v>1327.8924006445</c:v>
                </c:pt>
                <c:pt idx="9">
                  <c:v>101.103493452001</c:v>
                </c:pt>
                <c:pt idx="10">
                  <c:v>692.312698683099</c:v>
                </c:pt>
                <c:pt idx="11">
                  <c:v>811.075933861201</c:v>
                </c:pt>
                <c:pt idx="12">
                  <c:v>917.322084995199</c:v>
                </c:pt>
                <c:pt idx="13">
                  <c:v>1187.8512865105</c:v>
                </c:pt>
                <c:pt idx="14">
                  <c:v>2177.9059551877</c:v>
                </c:pt>
                <c:pt idx="15">
                  <c:v>981.804841123601</c:v>
                </c:pt>
                <c:pt idx="16">
                  <c:v>13.8202832433999</c:v>
                </c:pt>
                <c:pt idx="17">
                  <c:v>13.8202832433999</c:v>
                </c:pt>
                <c:pt idx="18">
                  <c:v>498.573849745702</c:v>
                </c:pt>
                <c:pt idx="19">
                  <c:v>585.8570599544</c:v>
                </c:pt>
                <c:pt idx="20">
                  <c:v>811.075933861299</c:v>
                </c:pt>
                <c:pt idx="21">
                  <c:v>1640.39448476</c:v>
                </c:pt>
                <c:pt idx="22">
                  <c:v>1519.3163115513</c:v>
                </c:pt>
                <c:pt idx="23">
                  <c:v>2628.8645586899</c:v>
                </c:pt>
                <c:pt idx="24">
                  <c:v>2662.6595216901</c:v>
                </c:pt>
                <c:pt idx="25">
                  <c:v>585.8570599544</c:v>
                </c:pt>
                <c:pt idx="26">
                  <c:v>1240.6091904358</c:v>
                </c:pt>
                <c:pt idx="27">
                  <c:v>703.0977200081</c:v>
                </c:pt>
                <c:pt idx="28">
                  <c:v>101.103493452101</c:v>
                </c:pt>
                <c:pt idx="29">
                  <c:v>864.5641810698</c:v>
                </c:pt>
                <c:pt idx="30">
                  <c:v>1435.8706144976</c:v>
                </c:pt>
                <c:pt idx="31">
                  <c:v>692.312698683098</c:v>
                </c:pt>
                <c:pt idx="32">
                  <c:v>-523.691187184297</c:v>
                </c:pt>
                <c:pt idx="33">
                  <c:v>1229.8241691107</c:v>
                </c:pt>
                <c:pt idx="34">
                  <c:v>-38.9376206818997</c:v>
                </c:pt>
                <c:pt idx="35">
                  <c:v>-523.691187184202</c:v>
                </c:pt>
                <c:pt idx="36">
                  <c:v>1089.7830549767</c:v>
                </c:pt>
                <c:pt idx="37">
                  <c:v>692.312698683098</c:v>
                </c:pt>
                <c:pt idx="38">
                  <c:v>498.573849745801</c:v>
                </c:pt>
                <c:pt idx="39">
                  <c:v>917.322084995103</c:v>
                </c:pt>
                <c:pt idx="40">
                  <c:v>-244.984066068799</c:v>
                </c:pt>
                <c:pt idx="41">
                  <c:v>1089.7830549768</c:v>
                </c:pt>
                <c:pt idx="42">
                  <c:v>1435.8706144976</c:v>
                </c:pt>
                <c:pt idx="43">
                  <c:v>811.075933861299</c:v>
                </c:pt>
                <c:pt idx="44">
                  <c:v>101.103493451999</c:v>
                </c:pt>
                <c:pt idx="45">
                  <c:v>1028.2965106076</c:v>
                </c:pt>
                <c:pt idx="46">
                  <c:v>638.6149638797</c:v>
                </c:pt>
                <c:pt idx="47">
                  <c:v>1714.577735613</c:v>
                </c:pt>
                <c:pt idx="48">
                  <c:v>1402.0756514975</c:v>
                </c:pt>
                <c:pt idx="49">
                  <c:v>1123.368530382</c:v>
                </c:pt>
                <c:pt idx="50">
                  <c:v>749.589389492103</c:v>
                </c:pt>
                <c:pt idx="51">
                  <c:v>212.077919064395</c:v>
                </c:pt>
                <c:pt idx="52">
                  <c:v>292.527404358902</c:v>
                </c:pt>
                <c:pt idx="53">
                  <c:v>543.542944105204</c:v>
                </c:pt>
                <c:pt idx="54">
                  <c:v>803.287124295493</c:v>
                </c:pt>
                <c:pt idx="55">
                  <c:v>1123.368530382</c:v>
                </c:pt>
                <c:pt idx="56">
                  <c:v>1435.8706144976</c:v>
                </c:pt>
                <c:pt idx="57">
                  <c:v>889.630503626002</c:v>
                </c:pt>
                <c:pt idx="58">
                  <c:v>318.533557793096</c:v>
                </c:pt>
                <c:pt idx="59">
                  <c:v>638.6149638797</c:v>
                </c:pt>
                <c:pt idx="60">
                  <c:v>981.804841123601</c:v>
                </c:pt>
                <c:pt idx="61">
                  <c:v>1168.3376247415</c:v>
                </c:pt>
                <c:pt idx="62">
                  <c:v>264.835822989698</c:v>
                </c:pt>
                <c:pt idx="63">
                  <c:v>379.810614567505</c:v>
                </c:pt>
                <c:pt idx="64">
                  <c:v>352.119033198396</c:v>
                </c:pt>
                <c:pt idx="65">
                  <c:v>1028.2965106076</c:v>
                </c:pt>
                <c:pt idx="66">
                  <c:v>1229.8241691107</c:v>
                </c:pt>
                <c:pt idx="67">
                  <c:v>490.785040179799</c:v>
                </c:pt>
                <c:pt idx="68">
                  <c:v>577.337907105299</c:v>
                </c:pt>
                <c:pt idx="69">
                  <c:v>1168.3376247415</c:v>
                </c:pt>
                <c:pt idx="70">
                  <c:v>1202.1325877416</c:v>
                </c:pt>
                <c:pt idx="71">
                  <c:v>524.580003179995</c:v>
                </c:pt>
                <c:pt idx="72">
                  <c:v>1340.7985947231</c:v>
                </c:pt>
                <c:pt idx="73">
                  <c:v>889.6305036259</c:v>
                </c:pt>
                <c:pt idx="74">
                  <c:v>379.810614567599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92140"/>
        <c:axId val="623870090"/>
      </c:scatterChart>
      <c:valAx>
        <c:axId val="129692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870090"/>
        <c:crosses val="autoZero"/>
        <c:crossBetween val="midCat"/>
      </c:valAx>
      <c:valAx>
        <c:axId val="6238700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921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Residuals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折线对比!$G$1</c:f>
              <c:strCache>
                <c:ptCount val="1"/>
                <c:pt idx="0">
                  <c:v>new_pred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折线对比!$G$3:$G$77</c:f>
              <c:numCache>
                <c:formatCode>General</c:formatCode>
                <c:ptCount val="75"/>
                <c:pt idx="0">
                  <c:v>150.56238886379</c:v>
                </c:pt>
                <c:pt idx="1">
                  <c:v>-42.800400227204</c:v>
                </c:pt>
                <c:pt idx="2">
                  <c:v>-244.59912678437</c:v>
                </c:pt>
                <c:pt idx="3">
                  <c:v>-110.12295064961</c:v>
                </c:pt>
                <c:pt idx="4">
                  <c:v>-211.14469700473</c:v>
                </c:pt>
                <c:pt idx="5">
                  <c:v>-62.1790890053701</c:v>
                </c:pt>
                <c:pt idx="6">
                  <c:v>165.73892145893</c:v>
                </c:pt>
                <c:pt idx="7">
                  <c:v>-240.73083271472</c:v>
                </c:pt>
                <c:pt idx="8">
                  <c:v>126.49623884217</c:v>
                </c:pt>
                <c:pt idx="9">
                  <c:v>570.378827092404</c:v>
                </c:pt>
                <c:pt idx="10">
                  <c:v>-247.544570297949</c:v>
                </c:pt>
                <c:pt idx="11">
                  <c:v>139.622479749491</c:v>
                </c:pt>
                <c:pt idx="12">
                  <c:v>-50.801430440634</c:v>
                </c:pt>
                <c:pt idx="13">
                  <c:v>-188.93709372255</c:v>
                </c:pt>
                <c:pt idx="14">
                  <c:v>-167.882449936</c:v>
                </c:pt>
                <c:pt idx="15">
                  <c:v>278.87340000318</c:v>
                </c:pt>
                <c:pt idx="16">
                  <c:v>529.57773422199</c:v>
                </c:pt>
                <c:pt idx="17">
                  <c:v>-45.42226577801</c:v>
                </c:pt>
                <c:pt idx="18">
                  <c:v>62.476461922229</c:v>
                </c:pt>
                <c:pt idx="19">
                  <c:v>290.785047130365</c:v>
                </c:pt>
                <c:pt idx="20">
                  <c:v>151.791122408834</c:v>
                </c:pt>
                <c:pt idx="21">
                  <c:v>344.76408530492</c:v>
                </c:pt>
                <c:pt idx="22">
                  <c:v>-15.50528877499</c:v>
                </c:pt>
                <c:pt idx="23">
                  <c:v>492.75993736872</c:v>
                </c:pt>
                <c:pt idx="24">
                  <c:v>-99.6631550759398</c:v>
                </c:pt>
                <c:pt idx="25">
                  <c:v>215.785047130365</c:v>
                </c:pt>
                <c:pt idx="26">
                  <c:v>155.197076176463</c:v>
                </c:pt>
                <c:pt idx="27">
                  <c:v>-36.109574558761</c:v>
                </c:pt>
                <c:pt idx="28">
                  <c:v>-163.16049459373</c:v>
                </c:pt>
                <c:pt idx="29">
                  <c:v>-164.64584259771</c:v>
                </c:pt>
                <c:pt idx="30">
                  <c:v>-401.44762382054</c:v>
                </c:pt>
                <c:pt idx="31">
                  <c:v>352.455429702051</c:v>
                </c:pt>
                <c:pt idx="32">
                  <c:v>-347.090391023696</c:v>
                </c:pt>
                <c:pt idx="33">
                  <c:v>474.198569559366</c:v>
                </c:pt>
                <c:pt idx="34">
                  <c:v>-468.144849299599</c:v>
                </c:pt>
                <c:pt idx="35">
                  <c:v>598.956423000161</c:v>
                </c:pt>
                <c:pt idx="36">
                  <c:v>453.092386218011</c:v>
                </c:pt>
                <c:pt idx="37">
                  <c:v>-54.276723835201</c:v>
                </c:pt>
                <c:pt idx="38">
                  <c:v>-364.330706226652</c:v>
                </c:pt>
                <c:pt idx="39">
                  <c:v>-12.97007309997</c:v>
                </c:pt>
                <c:pt idx="40">
                  <c:v>-63.206620265166</c:v>
                </c:pt>
                <c:pt idx="41">
                  <c:v>-646.907613781989</c:v>
                </c:pt>
                <c:pt idx="42">
                  <c:v>34.2377156928501</c:v>
                </c:pt>
                <c:pt idx="43">
                  <c:v>153.937140236095</c:v>
                </c:pt>
                <c:pt idx="44">
                  <c:v>9.69348757900801</c:v>
                </c:pt>
                <c:pt idx="45">
                  <c:v>843.55613854735</c:v>
                </c:pt>
                <c:pt idx="46">
                  <c:v>-198.999861685768</c:v>
                </c:pt>
                <c:pt idx="47">
                  <c:v>-59.0245313758801</c:v>
                </c:pt>
                <c:pt idx="48">
                  <c:v>412.02228264798</c:v>
                </c:pt>
                <c:pt idx="49">
                  <c:v>-92.90830213441</c:v>
                </c:pt>
                <c:pt idx="50">
                  <c:v>93.0720053616089</c:v>
                </c:pt>
                <c:pt idx="51">
                  <c:v>30.718540602528</c:v>
                </c:pt>
                <c:pt idx="52">
                  <c:v>31.729351443268</c:v>
                </c:pt>
                <c:pt idx="53">
                  <c:v>-569.26757454126</c:v>
                </c:pt>
                <c:pt idx="54">
                  <c:v>-639.21119050174</c:v>
                </c:pt>
                <c:pt idx="55">
                  <c:v>-78.593641647806</c:v>
                </c:pt>
                <c:pt idx="56">
                  <c:v>-194.715470283292</c:v>
                </c:pt>
                <c:pt idx="57">
                  <c:v>33.741699580873</c:v>
                </c:pt>
                <c:pt idx="58">
                  <c:v>-82.611076825786</c:v>
                </c:pt>
                <c:pt idx="59">
                  <c:v>-925.807029834649</c:v>
                </c:pt>
                <c:pt idx="60">
                  <c:v>-233.95795733748</c:v>
                </c:pt>
                <c:pt idx="61">
                  <c:v>-109.520547487859</c:v>
                </c:pt>
                <c:pt idx="62">
                  <c:v>-288.019554189749</c:v>
                </c:pt>
                <c:pt idx="63">
                  <c:v>-81.422741662462</c:v>
                </c:pt>
                <c:pt idx="64">
                  <c:v>469.242216994531</c:v>
                </c:pt>
                <c:pt idx="65">
                  <c:v>768.55613854735</c:v>
                </c:pt>
                <c:pt idx="66">
                  <c:v>99.198569559366</c:v>
                </c:pt>
                <c:pt idx="67">
                  <c:v>-414.21119050174</c:v>
                </c:pt>
                <c:pt idx="68">
                  <c:v>196.848654700211</c:v>
                </c:pt>
                <c:pt idx="69">
                  <c:v>-207.37452966059</c:v>
                </c:pt>
                <c:pt idx="70">
                  <c:v>-147.990453956379</c:v>
                </c:pt>
                <c:pt idx="71">
                  <c:v>-2.68109697025989</c:v>
                </c:pt>
                <c:pt idx="72">
                  <c:v>-183.58987927991</c:v>
                </c:pt>
                <c:pt idx="73">
                  <c:v>208.741699580873</c:v>
                </c:pt>
                <c:pt idx="74">
                  <c:v>20.723276164799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折线对比!$H$1</c:f>
              <c:strCache>
                <c:ptCount val="1"/>
                <c:pt idx="0">
                  <c:v>sin_pred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折线对比!$H$3:$H$77</c:f>
              <c:numCache>
                <c:formatCode>General</c:formatCode>
                <c:ptCount val="75"/>
                <c:pt idx="0">
                  <c:v>-261.49079311279</c:v>
                </c:pt>
                <c:pt idx="1">
                  <c:v>-77.915503832058</c:v>
                </c:pt>
                <c:pt idx="2">
                  <c:v>-126.74153271029</c:v>
                </c:pt>
                <c:pt idx="3">
                  <c:v>-692.25754853092</c:v>
                </c:pt>
                <c:pt idx="4">
                  <c:v>-100.43586890581</c:v>
                </c:pt>
                <c:pt idx="5">
                  <c:v>-59.41915846965</c:v>
                </c:pt>
                <c:pt idx="6">
                  <c:v>216.317740749811</c:v>
                </c:pt>
                <c:pt idx="7">
                  <c:v>299.56413109419</c:v>
                </c:pt>
                <c:pt idx="8">
                  <c:v>503.57674378678</c:v>
                </c:pt>
                <c:pt idx="9">
                  <c:v>703.15733648489</c:v>
                </c:pt>
                <c:pt idx="10">
                  <c:v>-488.584866151964</c:v>
                </c:pt>
                <c:pt idx="11">
                  <c:v>463.089799585327</c:v>
                </c:pt>
                <c:pt idx="12">
                  <c:v>-200.855276207694</c:v>
                </c:pt>
                <c:pt idx="13">
                  <c:v>-585.75389389332</c:v>
                </c:pt>
                <c:pt idx="14">
                  <c:v>177.83984456731</c:v>
                </c:pt>
                <c:pt idx="15">
                  <c:v>452.8221799669</c:v>
                </c:pt>
                <c:pt idx="16">
                  <c:v>443.408076082397</c:v>
                </c:pt>
                <c:pt idx="17">
                  <c:v>-131.591923917603</c:v>
                </c:pt>
                <c:pt idx="18">
                  <c:v>232.323044167196</c:v>
                </c:pt>
                <c:pt idx="19">
                  <c:v>217.072304569689</c:v>
                </c:pt>
                <c:pt idx="20">
                  <c:v>13.089799585327</c:v>
                </c:pt>
                <c:pt idx="21">
                  <c:v>859.34349920491</c:v>
                </c:pt>
                <c:pt idx="22">
                  <c:v>196.3185253293</c:v>
                </c:pt>
                <c:pt idx="23">
                  <c:v>413.47909917899</c:v>
                </c:pt>
                <c:pt idx="24">
                  <c:v>-183.24518734789</c:v>
                </c:pt>
                <c:pt idx="25">
                  <c:v>142.072304569689</c:v>
                </c:pt>
                <c:pt idx="26">
                  <c:v>18.827483384279</c:v>
                </c:pt>
                <c:pt idx="27">
                  <c:v>-449.668861978121</c:v>
                </c:pt>
                <c:pt idx="28">
                  <c:v>-46.8426635151099</c:v>
                </c:pt>
                <c:pt idx="29">
                  <c:v>-80.43665348529</c:v>
                </c:pt>
                <c:pt idx="30">
                  <c:v>-283.66459464977</c:v>
                </c:pt>
                <c:pt idx="31">
                  <c:v>111.415133848036</c:v>
                </c:pt>
                <c:pt idx="32">
                  <c:v>-25.0882692800041</c:v>
                </c:pt>
                <c:pt idx="33">
                  <c:v>254.911479210437</c:v>
                </c:pt>
                <c:pt idx="34">
                  <c:v>-336.173301195205</c:v>
                </c:pt>
                <c:pt idx="35">
                  <c:v>474.911730719996</c:v>
                </c:pt>
                <c:pt idx="36">
                  <c:v>265.58084153035</c:v>
                </c:pt>
                <c:pt idx="37">
                  <c:v>-88.584866151964</c:v>
                </c:pt>
                <c:pt idx="38">
                  <c:v>-417.676955832804</c:v>
                </c:pt>
                <c:pt idx="39">
                  <c:v>299.144723792306</c:v>
                </c:pt>
                <c:pt idx="40">
                  <c:v>177.402772665012</c:v>
                </c:pt>
                <c:pt idx="41">
                  <c:v>-834.41915846965</c:v>
                </c:pt>
                <c:pt idx="42">
                  <c:v>391.33540535023</c:v>
                </c:pt>
                <c:pt idx="43">
                  <c:v>238.089799585327</c:v>
                </c:pt>
                <c:pt idx="44">
                  <c:v>-96.8426635151099</c:v>
                </c:pt>
                <c:pt idx="45">
                  <c:v>1242.69294241277</c:v>
                </c:pt>
                <c:pt idx="46">
                  <c:v>-28.346318152709</c:v>
                </c:pt>
                <c:pt idx="47">
                  <c:v>-6.17355270475991</c:v>
                </c:pt>
                <c:pt idx="48">
                  <c:v>88.05969187711</c:v>
                </c:pt>
                <c:pt idx="49">
                  <c:v>110.56864993209</c:v>
                </c:pt>
                <c:pt idx="50">
                  <c:v>-309.798099532249</c:v>
                </c:pt>
                <c:pt idx="51">
                  <c:v>-203.29444489465</c:v>
                </c:pt>
                <c:pt idx="52">
                  <c:v>70.899118027413</c:v>
                </c:pt>
                <c:pt idx="53">
                  <c:v>3.77797432796694</c:v>
                </c:pt>
                <c:pt idx="54">
                  <c:v>-570.0366475315</c:v>
                </c:pt>
                <c:pt idx="55">
                  <c:v>-114.43135006791</c:v>
                </c:pt>
                <c:pt idx="56">
                  <c:v>-283.66459464977</c:v>
                </c:pt>
                <c:pt idx="57">
                  <c:v>-145.467461852154</c:v>
                </c:pt>
                <c:pt idx="58">
                  <c:v>-483.951615616302</c:v>
                </c:pt>
                <c:pt idx="59">
                  <c:v>-978.346318152709</c:v>
                </c:pt>
                <c:pt idx="60">
                  <c:v>-522.1778200331</c:v>
                </c:pt>
                <c:pt idx="61">
                  <c:v>-592.97641990713</c:v>
                </c:pt>
                <c:pt idx="62">
                  <c:v>-723.713067617048</c:v>
                </c:pt>
                <c:pt idx="63">
                  <c:v>-269.351621570095</c:v>
                </c:pt>
                <c:pt idx="64">
                  <c:v>236.036192785445</c:v>
                </c:pt>
                <c:pt idx="65">
                  <c:v>1167.69294241277</c:v>
                </c:pt>
                <c:pt idx="66">
                  <c:v>-120.088520789563</c:v>
                </c:pt>
                <c:pt idx="67">
                  <c:v>-275.80340294963</c:v>
                </c:pt>
                <c:pt idx="68">
                  <c:v>782.053687801083</c:v>
                </c:pt>
                <c:pt idx="69">
                  <c:v>-467.97641990713</c:v>
                </c:pt>
                <c:pt idx="70">
                  <c:v>-189.700706434023</c:v>
                </c:pt>
                <c:pt idx="71">
                  <c:v>577.472310523481</c:v>
                </c:pt>
                <c:pt idx="72">
                  <c:v>-76.5403021691</c:v>
                </c:pt>
                <c:pt idx="73">
                  <c:v>29.532538147846</c:v>
                </c:pt>
                <c:pt idx="74">
                  <c:v>55.6483784299051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折线对比!$I$1</c:f>
              <c:strCache>
                <c:ptCount val="1"/>
                <c:pt idx="0">
                  <c:v>cum_pred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yVal>
            <c:numRef>
              <c:f>折线对比!$I$3:$I$77</c:f>
              <c:numCache>
                <c:formatCode>General</c:formatCode>
                <c:ptCount val="75"/>
                <c:pt idx="0">
                  <c:v>-587.86484105371</c:v>
                </c:pt>
                <c:pt idx="1">
                  <c:v>247.72841545088</c:v>
                </c:pt>
                <c:pt idx="2">
                  <c:v>-150.14805126236</c:v>
                </c:pt>
                <c:pt idx="3">
                  <c:v>-775.36275693816</c:v>
                </c:pt>
                <c:pt idx="4">
                  <c:v>-144.11099218758</c:v>
                </c:pt>
                <c:pt idx="5">
                  <c:v>-89.7830549767496</c:v>
                </c:pt>
                <c:pt idx="6">
                  <c:v>785.23049956642</c:v>
                </c:pt>
                <c:pt idx="7">
                  <c:v>255.88900781246</c:v>
                </c:pt>
                <c:pt idx="8">
                  <c:v>472.1075993555</c:v>
                </c:pt>
                <c:pt idx="9">
                  <c:v>623.896506547999</c:v>
                </c:pt>
                <c:pt idx="10">
                  <c:v>-467.312698683099</c:v>
                </c:pt>
                <c:pt idx="11">
                  <c:v>88.9240661387994</c:v>
                </c:pt>
                <c:pt idx="12">
                  <c:v>-292.322084995199</c:v>
                </c:pt>
                <c:pt idx="13">
                  <c:v>-312.851286510499</c:v>
                </c:pt>
                <c:pt idx="14">
                  <c:v>-452.9059551877</c:v>
                </c:pt>
                <c:pt idx="15">
                  <c:v>818.195158876399</c:v>
                </c:pt>
                <c:pt idx="16">
                  <c:v>61.1797167566001</c:v>
                </c:pt>
                <c:pt idx="17">
                  <c:v>-513.8202832434</c:v>
                </c:pt>
                <c:pt idx="18">
                  <c:v>101.426150254298</c:v>
                </c:pt>
                <c:pt idx="19">
                  <c:v>389.1429400456</c:v>
                </c:pt>
                <c:pt idx="20">
                  <c:v>-361.075933861299</c:v>
                </c:pt>
                <c:pt idx="21">
                  <c:v>584.60551524</c:v>
                </c:pt>
                <c:pt idx="22">
                  <c:v>205.683688448698</c:v>
                </c:pt>
                <c:pt idx="23">
                  <c:v>621.135441310103</c:v>
                </c:pt>
                <c:pt idx="24">
                  <c:v>-562.659521690101</c:v>
                </c:pt>
                <c:pt idx="25">
                  <c:v>314.1429400456</c:v>
                </c:pt>
                <c:pt idx="26">
                  <c:v>-315.6091904358</c:v>
                </c:pt>
                <c:pt idx="27">
                  <c:v>-428.0977200081</c:v>
                </c:pt>
                <c:pt idx="28">
                  <c:v>-126.103493452101</c:v>
                </c:pt>
                <c:pt idx="29">
                  <c:v>435.4358189302</c:v>
                </c:pt>
                <c:pt idx="30">
                  <c:v>-710.870614497602</c:v>
                </c:pt>
                <c:pt idx="31">
                  <c:v>132.687301316902</c:v>
                </c:pt>
                <c:pt idx="32">
                  <c:v>-51.3088128157033</c:v>
                </c:pt>
                <c:pt idx="33">
                  <c:v>-79.8241691106959</c:v>
                </c:pt>
                <c:pt idx="34">
                  <c:v>-111.0623793181</c:v>
                </c:pt>
                <c:pt idx="35">
                  <c:v>448.691187184202</c:v>
                </c:pt>
                <c:pt idx="36">
                  <c:v>235.216945023298</c:v>
                </c:pt>
                <c:pt idx="37">
                  <c:v>-67.3126986830976</c:v>
                </c:pt>
                <c:pt idx="38">
                  <c:v>-548.573849745801</c:v>
                </c:pt>
                <c:pt idx="39">
                  <c:v>207.677915004897</c:v>
                </c:pt>
                <c:pt idx="40">
                  <c:v>494.984066068799</c:v>
                </c:pt>
                <c:pt idx="41">
                  <c:v>-864.783054976797</c:v>
                </c:pt>
                <c:pt idx="42">
                  <c:v>-35.8706144976022</c:v>
                </c:pt>
                <c:pt idx="43">
                  <c:v>-136.075933861299</c:v>
                </c:pt>
                <c:pt idx="44">
                  <c:v>-176.103493451999</c:v>
                </c:pt>
                <c:pt idx="45">
                  <c:v>1821.7034893924</c:v>
                </c:pt>
                <c:pt idx="46">
                  <c:v>-463.6149638797</c:v>
                </c:pt>
                <c:pt idx="47">
                  <c:v>-89.5777356129984</c:v>
                </c:pt>
                <c:pt idx="48">
                  <c:v>247.9243485025</c:v>
                </c:pt>
                <c:pt idx="49">
                  <c:v>-73.3685303820021</c:v>
                </c:pt>
                <c:pt idx="50">
                  <c:v>-74.5893894921028</c:v>
                </c:pt>
                <c:pt idx="51">
                  <c:v>387.922080935605</c:v>
                </c:pt>
                <c:pt idx="52">
                  <c:v>32.4725956410985</c:v>
                </c:pt>
                <c:pt idx="53">
                  <c:v>331.457055894796</c:v>
                </c:pt>
                <c:pt idx="54">
                  <c:v>121.712875704507</c:v>
                </c:pt>
                <c:pt idx="55">
                  <c:v>-298.368530382002</c:v>
                </c:pt>
                <c:pt idx="56">
                  <c:v>-710.870614497602</c:v>
                </c:pt>
                <c:pt idx="57">
                  <c:v>-214.630503626002</c:v>
                </c:pt>
                <c:pt idx="58">
                  <c:v>-43.5335577930964</c:v>
                </c:pt>
                <c:pt idx="59">
                  <c:v>-1413.6149638797</c:v>
                </c:pt>
                <c:pt idx="60">
                  <c:v>-156.804841123601</c:v>
                </c:pt>
                <c:pt idx="61">
                  <c:v>-318.3376247415</c:v>
                </c:pt>
                <c:pt idx="62">
                  <c:v>-739.835822989699</c:v>
                </c:pt>
                <c:pt idx="63">
                  <c:v>-4.81061456750467</c:v>
                </c:pt>
                <c:pt idx="64">
                  <c:v>522.880966801604</c:v>
                </c:pt>
                <c:pt idx="65">
                  <c:v>1746.7034893924</c:v>
                </c:pt>
                <c:pt idx="66">
                  <c:v>-454.824169110703</c:v>
                </c:pt>
                <c:pt idx="67">
                  <c:v>659.214959820201</c:v>
                </c:pt>
                <c:pt idx="68">
                  <c:v>522.662092894701</c:v>
                </c:pt>
                <c:pt idx="69">
                  <c:v>-193.3376247415</c:v>
                </c:pt>
                <c:pt idx="70">
                  <c:v>-502.132587741602</c:v>
                </c:pt>
                <c:pt idx="71">
                  <c:v>925.419996820005</c:v>
                </c:pt>
                <c:pt idx="72">
                  <c:v>259.201405276901</c:v>
                </c:pt>
                <c:pt idx="73">
                  <c:v>-39.6305036259</c:v>
                </c:pt>
                <c:pt idx="74">
                  <c:v>320.189385432401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92140"/>
        <c:axId val="623870090"/>
      </c:scatterChart>
      <c:valAx>
        <c:axId val="129692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870090"/>
        <c:crosses val="autoZero"/>
        <c:crossBetween val="midCat"/>
      </c:valAx>
      <c:valAx>
        <c:axId val="6238700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921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Sun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折线对比!$K$1</c:f>
              <c:strCache>
                <c:ptCount val="1"/>
                <c:pt idx="0">
                  <c:v>TRUE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折线对比!$K$2:$K$77</c:f>
              <c:numCache>
                <c:formatCode>General</c:formatCode>
                <c:ptCount val="76"/>
                <c:pt idx="0">
                  <c:v>0</c:v>
                </c:pt>
                <c:pt idx="1">
                  <c:v>1450</c:v>
                </c:pt>
                <c:pt idx="2">
                  <c:v>2250</c:v>
                </c:pt>
                <c:pt idx="3">
                  <c:v>4225</c:v>
                </c:pt>
                <c:pt idx="4">
                  <c:v>5175</c:v>
                </c:pt>
                <c:pt idx="5">
                  <c:v>7175</c:v>
                </c:pt>
                <c:pt idx="6">
                  <c:v>8175</c:v>
                </c:pt>
                <c:pt idx="7">
                  <c:v>9200</c:v>
                </c:pt>
                <c:pt idx="8">
                  <c:v>11600</c:v>
                </c:pt>
                <c:pt idx="9">
                  <c:v>13400</c:v>
                </c:pt>
                <c:pt idx="10">
                  <c:v>14125</c:v>
                </c:pt>
                <c:pt idx="11">
                  <c:v>14350</c:v>
                </c:pt>
                <c:pt idx="12">
                  <c:v>15250</c:v>
                </c:pt>
                <c:pt idx="13">
                  <c:v>15875</c:v>
                </c:pt>
                <c:pt idx="14">
                  <c:v>16750</c:v>
                </c:pt>
                <c:pt idx="15">
                  <c:v>18475</c:v>
                </c:pt>
                <c:pt idx="16">
                  <c:v>20275</c:v>
                </c:pt>
                <c:pt idx="17">
                  <c:v>20350</c:v>
                </c:pt>
                <c:pt idx="18">
                  <c:v>19850</c:v>
                </c:pt>
                <c:pt idx="19">
                  <c:v>20450</c:v>
                </c:pt>
                <c:pt idx="20">
                  <c:v>21425</c:v>
                </c:pt>
                <c:pt idx="21">
                  <c:v>21875</c:v>
                </c:pt>
                <c:pt idx="22">
                  <c:v>24100</c:v>
                </c:pt>
                <c:pt idx="23">
                  <c:v>25825</c:v>
                </c:pt>
                <c:pt idx="24">
                  <c:v>29075</c:v>
                </c:pt>
                <c:pt idx="25">
                  <c:v>31175</c:v>
                </c:pt>
                <c:pt idx="26">
                  <c:v>32075</c:v>
                </c:pt>
                <c:pt idx="27">
                  <c:v>33000</c:v>
                </c:pt>
                <c:pt idx="28">
                  <c:v>33275</c:v>
                </c:pt>
                <c:pt idx="29">
                  <c:v>33250</c:v>
                </c:pt>
                <c:pt idx="30">
                  <c:v>34550</c:v>
                </c:pt>
                <c:pt idx="31">
                  <c:v>35275</c:v>
                </c:pt>
                <c:pt idx="32">
                  <c:v>36100</c:v>
                </c:pt>
                <c:pt idx="33">
                  <c:v>35525</c:v>
                </c:pt>
                <c:pt idx="34">
                  <c:v>36675</c:v>
                </c:pt>
                <c:pt idx="35">
                  <c:v>36525</c:v>
                </c:pt>
                <c:pt idx="36">
                  <c:v>36450</c:v>
                </c:pt>
                <c:pt idx="37">
                  <c:v>37775</c:v>
                </c:pt>
                <c:pt idx="38">
                  <c:v>38400</c:v>
                </c:pt>
                <c:pt idx="39">
                  <c:v>38350</c:v>
                </c:pt>
                <c:pt idx="40">
                  <c:v>39475</c:v>
                </c:pt>
                <c:pt idx="41">
                  <c:v>39725</c:v>
                </c:pt>
                <c:pt idx="42">
                  <c:v>39950</c:v>
                </c:pt>
                <c:pt idx="43">
                  <c:v>41350</c:v>
                </c:pt>
                <c:pt idx="44">
                  <c:v>42025</c:v>
                </c:pt>
                <c:pt idx="45">
                  <c:v>41950</c:v>
                </c:pt>
                <c:pt idx="46">
                  <c:v>44800</c:v>
                </c:pt>
                <c:pt idx="47">
                  <c:v>44975</c:v>
                </c:pt>
                <c:pt idx="48">
                  <c:v>46600</c:v>
                </c:pt>
                <c:pt idx="49">
                  <c:v>48250</c:v>
                </c:pt>
                <c:pt idx="50">
                  <c:v>49300</c:v>
                </c:pt>
                <c:pt idx="51">
                  <c:v>49975</c:v>
                </c:pt>
                <c:pt idx="52">
                  <c:v>50575</c:v>
                </c:pt>
                <c:pt idx="53">
                  <c:v>50900</c:v>
                </c:pt>
                <c:pt idx="54">
                  <c:v>51775</c:v>
                </c:pt>
                <c:pt idx="55">
                  <c:v>52700</c:v>
                </c:pt>
                <c:pt idx="56">
                  <c:v>53525</c:v>
                </c:pt>
                <c:pt idx="57">
                  <c:v>54250</c:v>
                </c:pt>
                <c:pt idx="58">
                  <c:v>54925</c:v>
                </c:pt>
                <c:pt idx="59">
                  <c:v>55200</c:v>
                </c:pt>
                <c:pt idx="60">
                  <c:v>54425</c:v>
                </c:pt>
                <c:pt idx="61">
                  <c:v>55250</c:v>
                </c:pt>
                <c:pt idx="62">
                  <c:v>56100</c:v>
                </c:pt>
                <c:pt idx="63">
                  <c:v>55625</c:v>
                </c:pt>
                <c:pt idx="64">
                  <c:v>56000</c:v>
                </c:pt>
                <c:pt idx="65">
                  <c:v>56875</c:v>
                </c:pt>
                <c:pt idx="66">
                  <c:v>59650</c:v>
                </c:pt>
                <c:pt idx="67">
                  <c:v>60425</c:v>
                </c:pt>
                <c:pt idx="68">
                  <c:v>61575</c:v>
                </c:pt>
                <c:pt idx="69">
                  <c:v>62675</c:v>
                </c:pt>
                <c:pt idx="70">
                  <c:v>63650</c:v>
                </c:pt>
                <c:pt idx="71">
                  <c:v>64350</c:v>
                </c:pt>
                <c:pt idx="72">
                  <c:v>65800</c:v>
                </c:pt>
                <c:pt idx="73">
                  <c:v>67400</c:v>
                </c:pt>
                <c:pt idx="74">
                  <c:v>68250</c:v>
                </c:pt>
                <c:pt idx="75">
                  <c:v>68950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折线对比!$L$1</c:f>
              <c:strCache>
                <c:ptCount val="1"/>
                <c:pt idx="0">
                  <c:v>new_pred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折线对比!$L$2:$L$77</c:f>
              <c:numCache>
                <c:formatCode>General</c:formatCode>
                <c:ptCount val="76"/>
                <c:pt idx="0">
                  <c:v>0</c:v>
                </c:pt>
                <c:pt idx="1">
                  <c:v>1299.43761113621</c:v>
                </c:pt>
                <c:pt idx="2">
                  <c:v>2142.23801136341</c:v>
                </c:pt>
                <c:pt idx="3">
                  <c:v>4361.83713814778</c:v>
                </c:pt>
                <c:pt idx="4">
                  <c:v>5421.96008879739</c:v>
                </c:pt>
                <c:pt idx="5">
                  <c:v>7633.10478580212</c:v>
                </c:pt>
                <c:pt idx="6">
                  <c:v>8695.2838748075</c:v>
                </c:pt>
                <c:pt idx="7">
                  <c:v>9554.54495334857</c:v>
                </c:pt>
                <c:pt idx="8">
                  <c:v>12195.2757860633</c:v>
                </c:pt>
                <c:pt idx="9">
                  <c:v>13868.7795472211</c:v>
                </c:pt>
                <c:pt idx="10">
                  <c:v>14023.4007201287</c:v>
                </c:pt>
                <c:pt idx="11">
                  <c:v>14495.9452904267</c:v>
                </c:pt>
                <c:pt idx="12">
                  <c:v>15256.3228106772</c:v>
                </c:pt>
                <c:pt idx="13">
                  <c:v>15932.1242411178</c:v>
                </c:pt>
                <c:pt idx="14">
                  <c:v>16996.0613348404</c:v>
                </c:pt>
                <c:pt idx="15">
                  <c:v>18888.9437847764</c:v>
                </c:pt>
                <c:pt idx="16">
                  <c:v>20410.0703847732</c:v>
                </c:pt>
                <c:pt idx="17">
                  <c:v>19955.4926505512</c:v>
                </c:pt>
                <c:pt idx="18">
                  <c:v>19500.9149163292</c:v>
                </c:pt>
                <c:pt idx="19">
                  <c:v>20038.438454407</c:v>
                </c:pt>
                <c:pt idx="20">
                  <c:v>20722.6534072766</c:v>
                </c:pt>
                <c:pt idx="21">
                  <c:v>21020.8622848678</c:v>
                </c:pt>
                <c:pt idx="22">
                  <c:v>22901.0981995628</c:v>
                </c:pt>
                <c:pt idx="23">
                  <c:v>24641.6034883378</c:v>
                </c:pt>
                <c:pt idx="24">
                  <c:v>27398.8435509691</c:v>
                </c:pt>
                <c:pt idx="25">
                  <c:v>29598.5067060451</c:v>
                </c:pt>
                <c:pt idx="26">
                  <c:v>30282.7216589147</c:v>
                </c:pt>
                <c:pt idx="27">
                  <c:v>31052.5245827382</c:v>
                </c:pt>
                <c:pt idx="28">
                  <c:v>31363.634157297</c:v>
                </c:pt>
                <c:pt idx="29">
                  <c:v>31501.7946518907</c:v>
                </c:pt>
                <c:pt idx="30">
                  <c:v>32966.4404944884</c:v>
                </c:pt>
                <c:pt idx="31">
                  <c:v>34092.888118309</c:v>
                </c:pt>
                <c:pt idx="32">
                  <c:v>34565.4326886069</c:v>
                </c:pt>
                <c:pt idx="33">
                  <c:v>34337.5230796306</c:v>
                </c:pt>
                <c:pt idx="34">
                  <c:v>35013.3245100712</c:v>
                </c:pt>
                <c:pt idx="35">
                  <c:v>35331.4693593708</c:v>
                </c:pt>
                <c:pt idx="36">
                  <c:v>34657.5129363707</c:v>
                </c:pt>
                <c:pt idx="37">
                  <c:v>35529.4205501527</c:v>
                </c:pt>
                <c:pt idx="38">
                  <c:v>36208.6972739879</c:v>
                </c:pt>
                <c:pt idx="39">
                  <c:v>36523.0279802145</c:v>
                </c:pt>
                <c:pt idx="40">
                  <c:v>37660.9980533145</c:v>
                </c:pt>
                <c:pt idx="41">
                  <c:v>37974.2046735797</c:v>
                </c:pt>
                <c:pt idx="42">
                  <c:v>38846.1122873616</c:v>
                </c:pt>
                <c:pt idx="43">
                  <c:v>40211.8745716688</c:v>
                </c:pt>
                <c:pt idx="44">
                  <c:v>40732.9374314327</c:v>
                </c:pt>
                <c:pt idx="45">
                  <c:v>40648.2439438537</c:v>
                </c:pt>
                <c:pt idx="46">
                  <c:v>42654.6878053063</c:v>
                </c:pt>
                <c:pt idx="47">
                  <c:v>43028.6876669921</c:v>
                </c:pt>
                <c:pt idx="48">
                  <c:v>44712.712198368</c:v>
                </c:pt>
                <c:pt idx="49">
                  <c:v>45950.68991572</c:v>
                </c:pt>
                <c:pt idx="50">
                  <c:v>47093.5982178544</c:v>
                </c:pt>
                <c:pt idx="51">
                  <c:v>47675.5262124928</c:v>
                </c:pt>
                <c:pt idx="52">
                  <c:v>48244.8076718903</c:v>
                </c:pt>
                <c:pt idx="53">
                  <c:v>48538.078320447</c:v>
                </c:pt>
                <c:pt idx="54">
                  <c:v>49982.3458949883</c:v>
                </c:pt>
                <c:pt idx="55">
                  <c:v>51546.55708549</c:v>
                </c:pt>
                <c:pt idx="56">
                  <c:v>52450.1507271378</c:v>
                </c:pt>
                <c:pt idx="57">
                  <c:v>53369.8661974211</c:v>
                </c:pt>
                <c:pt idx="58">
                  <c:v>54011.1244978402</c:v>
                </c:pt>
                <c:pt idx="59">
                  <c:v>54368.735574666</c:v>
                </c:pt>
                <c:pt idx="60">
                  <c:v>54519.5426045007</c:v>
                </c:pt>
                <c:pt idx="61">
                  <c:v>55578.5005618382</c:v>
                </c:pt>
                <c:pt idx="62">
                  <c:v>56538.021109326</c:v>
                </c:pt>
                <c:pt idx="63">
                  <c:v>56351.0406635158</c:v>
                </c:pt>
                <c:pt idx="64">
                  <c:v>56807.4634051782</c:v>
                </c:pt>
                <c:pt idx="65">
                  <c:v>57213.2211881837</c:v>
                </c:pt>
                <c:pt idx="66">
                  <c:v>59219.6650496364</c:v>
                </c:pt>
                <c:pt idx="67">
                  <c:v>59895.466480077</c:v>
                </c:pt>
                <c:pt idx="68">
                  <c:v>61459.6776705787</c:v>
                </c:pt>
                <c:pt idx="69">
                  <c:v>62362.8290158785</c:v>
                </c:pt>
                <c:pt idx="70">
                  <c:v>63545.2035455391</c:v>
                </c:pt>
                <c:pt idx="71">
                  <c:v>64393.1939994955</c:v>
                </c:pt>
                <c:pt idx="72">
                  <c:v>65845.8750964658</c:v>
                </c:pt>
                <c:pt idx="73">
                  <c:v>67629.4649757457</c:v>
                </c:pt>
                <c:pt idx="74">
                  <c:v>68270.7232761648</c:v>
                </c:pt>
                <c:pt idx="75">
                  <c:v>68950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折线对比!$M$1</c:f>
              <c:strCache>
                <c:ptCount val="1"/>
                <c:pt idx="0">
                  <c:v>sin_pred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折线对比!$M$2:$M$77</c:f>
              <c:numCache>
                <c:formatCode>General</c:formatCode>
                <c:ptCount val="76"/>
                <c:pt idx="0">
                  <c:v>0</c:v>
                </c:pt>
                <c:pt idx="1">
                  <c:v>1711.49079311279</c:v>
                </c:pt>
                <c:pt idx="2">
                  <c:v>2589.40629694485</c:v>
                </c:pt>
                <c:pt idx="3">
                  <c:v>4691.14782965514</c:v>
                </c:pt>
                <c:pt idx="4">
                  <c:v>6333.40537818606</c:v>
                </c:pt>
                <c:pt idx="5">
                  <c:v>8433.84124709187</c:v>
                </c:pt>
                <c:pt idx="6">
                  <c:v>9493.26040556152</c:v>
                </c:pt>
                <c:pt idx="7">
                  <c:v>10301.9426648117</c:v>
                </c:pt>
                <c:pt idx="8">
                  <c:v>12402.3785337175</c:v>
                </c:pt>
                <c:pt idx="9">
                  <c:v>13698.8017899307</c:v>
                </c:pt>
                <c:pt idx="10">
                  <c:v>13720.6444534458</c:v>
                </c:pt>
                <c:pt idx="11">
                  <c:v>14434.2293195978</c:v>
                </c:pt>
                <c:pt idx="12">
                  <c:v>14871.1395200125</c:v>
                </c:pt>
                <c:pt idx="13">
                  <c:v>15696.9947962202</c:v>
                </c:pt>
                <c:pt idx="14">
                  <c:v>17157.7486901135</c:v>
                </c:pt>
                <c:pt idx="15">
                  <c:v>18704.9088455462</c:v>
                </c:pt>
                <c:pt idx="16">
                  <c:v>20052.0866655793</c:v>
                </c:pt>
                <c:pt idx="17">
                  <c:v>19683.6785894969</c:v>
                </c:pt>
                <c:pt idx="18">
                  <c:v>19315.2705134145</c:v>
                </c:pt>
                <c:pt idx="19">
                  <c:v>19682.9474692473</c:v>
                </c:pt>
                <c:pt idx="20">
                  <c:v>20440.8751646776</c:v>
                </c:pt>
                <c:pt idx="21">
                  <c:v>20877.7853650923</c:v>
                </c:pt>
                <c:pt idx="22">
                  <c:v>22243.4418658874</c:v>
                </c:pt>
                <c:pt idx="23">
                  <c:v>23772.1233405581</c:v>
                </c:pt>
                <c:pt idx="24">
                  <c:v>26608.6442413791</c:v>
                </c:pt>
                <c:pt idx="25">
                  <c:v>28891.889428727</c:v>
                </c:pt>
                <c:pt idx="26">
                  <c:v>29649.8171241573</c:v>
                </c:pt>
                <c:pt idx="27">
                  <c:v>30555.989640773</c:v>
                </c:pt>
                <c:pt idx="28">
                  <c:v>31280.6585027511</c:v>
                </c:pt>
                <c:pt idx="29">
                  <c:v>31302.5011662662</c:v>
                </c:pt>
                <c:pt idx="30">
                  <c:v>32682.9378197515</c:v>
                </c:pt>
                <c:pt idx="31">
                  <c:v>33691.6024144013</c:v>
                </c:pt>
                <c:pt idx="32">
                  <c:v>34405.1872805532</c:v>
                </c:pt>
                <c:pt idx="33">
                  <c:v>33855.2755498332</c:v>
                </c:pt>
                <c:pt idx="34">
                  <c:v>34750.3640706228</c:v>
                </c:pt>
                <c:pt idx="35">
                  <c:v>34936.537371818</c:v>
                </c:pt>
                <c:pt idx="36">
                  <c:v>34386.625641098</c:v>
                </c:pt>
                <c:pt idx="37">
                  <c:v>35446.0447995677</c:v>
                </c:pt>
                <c:pt idx="38">
                  <c:v>36159.6296657196</c:v>
                </c:pt>
                <c:pt idx="39">
                  <c:v>36527.3066215524</c:v>
                </c:pt>
                <c:pt idx="40">
                  <c:v>37353.1618977601</c:v>
                </c:pt>
                <c:pt idx="41">
                  <c:v>37425.7591250951</c:v>
                </c:pt>
                <c:pt idx="42">
                  <c:v>38485.1782835648</c:v>
                </c:pt>
                <c:pt idx="43">
                  <c:v>39493.8428782145</c:v>
                </c:pt>
                <c:pt idx="44">
                  <c:v>39930.7530786292</c:v>
                </c:pt>
                <c:pt idx="45">
                  <c:v>39952.5957421443</c:v>
                </c:pt>
                <c:pt idx="46">
                  <c:v>41559.9027997315</c:v>
                </c:pt>
                <c:pt idx="47">
                  <c:v>41763.2491178843</c:v>
                </c:pt>
                <c:pt idx="48">
                  <c:v>43394.422670589</c:v>
                </c:pt>
                <c:pt idx="49">
                  <c:v>44956.3629787119</c:v>
                </c:pt>
                <c:pt idx="50">
                  <c:v>45895.7943287798</c:v>
                </c:pt>
                <c:pt idx="51">
                  <c:v>46880.5924283121</c:v>
                </c:pt>
                <c:pt idx="52">
                  <c:v>47683.8868732067</c:v>
                </c:pt>
                <c:pt idx="53">
                  <c:v>47937.9877551793</c:v>
                </c:pt>
                <c:pt idx="54">
                  <c:v>48809.2097808513</c:v>
                </c:pt>
                <c:pt idx="55">
                  <c:v>50304.2464283828</c:v>
                </c:pt>
                <c:pt idx="56">
                  <c:v>51243.6777784508</c:v>
                </c:pt>
                <c:pt idx="57">
                  <c:v>52252.3423731005</c:v>
                </c:pt>
                <c:pt idx="58">
                  <c:v>53072.8098349527</c:v>
                </c:pt>
                <c:pt idx="59">
                  <c:v>53831.761450569</c:v>
                </c:pt>
                <c:pt idx="60">
                  <c:v>54035.1077687217</c:v>
                </c:pt>
                <c:pt idx="61">
                  <c:v>55382.2855887548</c:v>
                </c:pt>
                <c:pt idx="62">
                  <c:v>56825.2620086619</c:v>
                </c:pt>
                <c:pt idx="63">
                  <c:v>57073.975076279</c:v>
                </c:pt>
                <c:pt idx="64">
                  <c:v>57718.3266978491</c:v>
                </c:pt>
                <c:pt idx="65">
                  <c:v>58357.2905050636</c:v>
                </c:pt>
                <c:pt idx="66">
                  <c:v>59964.5975626509</c:v>
                </c:pt>
                <c:pt idx="67">
                  <c:v>60859.6860834404</c:v>
                </c:pt>
                <c:pt idx="68">
                  <c:v>62285.48948639</c:v>
                </c:pt>
                <c:pt idx="69">
                  <c:v>62603.435798589</c:v>
                </c:pt>
                <c:pt idx="70">
                  <c:v>64046.4122184961</c:v>
                </c:pt>
                <c:pt idx="71">
                  <c:v>64936.1129249301</c:v>
                </c:pt>
                <c:pt idx="72">
                  <c:v>65808.6406144066</c:v>
                </c:pt>
                <c:pt idx="73">
                  <c:v>67485.1809165757</c:v>
                </c:pt>
                <c:pt idx="74">
                  <c:v>68305.6483784279</c:v>
                </c:pt>
                <c:pt idx="75">
                  <c:v>68949.999999998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折线对比!$N$1</c:f>
              <c:strCache>
                <c:ptCount val="1"/>
                <c:pt idx="0">
                  <c:v>cum_pred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折线对比!$N$2:$N$77</c:f>
              <c:numCache>
                <c:formatCode>General</c:formatCode>
                <c:ptCount val="76"/>
                <c:pt idx="0">
                  <c:v>0</c:v>
                </c:pt>
                <c:pt idx="1">
                  <c:v>2037.86484105371</c:v>
                </c:pt>
                <c:pt idx="2">
                  <c:v>2590.13642560283</c:v>
                </c:pt>
                <c:pt idx="3">
                  <c:v>4715.28447686519</c:v>
                </c:pt>
                <c:pt idx="4">
                  <c:v>6440.64723380335</c:v>
                </c:pt>
                <c:pt idx="5">
                  <c:v>8584.75822599093</c:v>
                </c:pt>
                <c:pt idx="6">
                  <c:v>9674.54128096768</c:v>
                </c:pt>
                <c:pt idx="7">
                  <c:v>9914.31078140126</c:v>
                </c:pt>
                <c:pt idx="8">
                  <c:v>12058.4217735888</c:v>
                </c:pt>
                <c:pt idx="9">
                  <c:v>13386.3141742333</c:v>
                </c:pt>
                <c:pt idx="10">
                  <c:v>13487.4176676853</c:v>
                </c:pt>
                <c:pt idx="11">
                  <c:v>14179.7303663684</c:v>
                </c:pt>
                <c:pt idx="12">
                  <c:v>14990.8063002296</c:v>
                </c:pt>
                <c:pt idx="13">
                  <c:v>15908.1283852248</c:v>
                </c:pt>
                <c:pt idx="14">
                  <c:v>17095.9796717353</c:v>
                </c:pt>
                <c:pt idx="15">
                  <c:v>19273.885626923</c:v>
                </c:pt>
                <c:pt idx="16">
                  <c:v>20255.6904680466</c:v>
                </c:pt>
                <c:pt idx="17">
                  <c:v>20269.51075129</c:v>
                </c:pt>
                <c:pt idx="18">
                  <c:v>20283.3310345334</c:v>
                </c:pt>
                <c:pt idx="19">
                  <c:v>20781.9048842791</c:v>
                </c:pt>
                <c:pt idx="20">
                  <c:v>21367.7619442335</c:v>
                </c:pt>
                <c:pt idx="21">
                  <c:v>22178.8378780948</c:v>
                </c:pt>
                <c:pt idx="22">
                  <c:v>23819.2323628548</c:v>
                </c:pt>
                <c:pt idx="23">
                  <c:v>25338.5486744061</c:v>
                </c:pt>
                <c:pt idx="24">
                  <c:v>27967.413233096</c:v>
                </c:pt>
                <c:pt idx="25">
                  <c:v>30630.0727547861</c:v>
                </c:pt>
                <c:pt idx="26">
                  <c:v>31215.9298147405</c:v>
                </c:pt>
                <c:pt idx="27">
                  <c:v>32456.5390051763</c:v>
                </c:pt>
                <c:pt idx="28">
                  <c:v>33159.6367251844</c:v>
                </c:pt>
                <c:pt idx="29">
                  <c:v>33260.7402186365</c:v>
                </c:pt>
                <c:pt idx="30">
                  <c:v>34125.3043997063</c:v>
                </c:pt>
                <c:pt idx="31">
                  <c:v>35561.1750142039</c:v>
                </c:pt>
                <c:pt idx="32">
                  <c:v>36253.487712887</c:v>
                </c:pt>
                <c:pt idx="33">
                  <c:v>35729.7965257027</c:v>
                </c:pt>
                <c:pt idx="34">
                  <c:v>36959.6206948134</c:v>
                </c:pt>
                <c:pt idx="35">
                  <c:v>36920.6830741315</c:v>
                </c:pt>
                <c:pt idx="36">
                  <c:v>36396.9918869473</c:v>
                </c:pt>
                <c:pt idx="37">
                  <c:v>37486.774941924</c:v>
                </c:pt>
                <c:pt idx="38">
                  <c:v>38179.0876406071</c:v>
                </c:pt>
                <c:pt idx="39">
                  <c:v>38677.6614903529</c:v>
                </c:pt>
                <c:pt idx="40">
                  <c:v>39594.983575348</c:v>
                </c:pt>
                <c:pt idx="41">
                  <c:v>39349.9995092792</c:v>
                </c:pt>
                <c:pt idx="42">
                  <c:v>40439.782564256</c:v>
                </c:pt>
                <c:pt idx="43">
                  <c:v>41875.6531787536</c:v>
                </c:pt>
                <c:pt idx="44">
                  <c:v>42686.7291126149</c:v>
                </c:pt>
                <c:pt idx="45">
                  <c:v>42787.8326060669</c:v>
                </c:pt>
                <c:pt idx="46">
                  <c:v>43816.1291166745</c:v>
                </c:pt>
                <c:pt idx="47">
                  <c:v>44454.7440805542</c:v>
                </c:pt>
                <c:pt idx="48">
                  <c:v>46169.3218161672</c:v>
                </c:pt>
                <c:pt idx="49">
                  <c:v>47571.3974676647</c:v>
                </c:pt>
                <c:pt idx="50">
                  <c:v>48694.7659980467</c:v>
                </c:pt>
                <c:pt idx="51">
                  <c:v>49444.3553875388</c:v>
                </c:pt>
                <c:pt idx="52">
                  <c:v>49656.4333066032</c:v>
                </c:pt>
                <c:pt idx="53">
                  <c:v>49948.9607109621</c:v>
                </c:pt>
                <c:pt idx="54">
                  <c:v>50492.5036550673</c:v>
                </c:pt>
                <c:pt idx="55">
                  <c:v>51295.7907793628</c:v>
                </c:pt>
                <c:pt idx="56">
                  <c:v>52419.1593097448</c:v>
                </c:pt>
                <c:pt idx="57">
                  <c:v>53855.0299242424</c:v>
                </c:pt>
                <c:pt idx="58">
                  <c:v>54744.6604278684</c:v>
                </c:pt>
                <c:pt idx="59">
                  <c:v>55063.1939856615</c:v>
                </c:pt>
                <c:pt idx="60">
                  <c:v>55701.8089495412</c:v>
                </c:pt>
                <c:pt idx="61">
                  <c:v>56683.6137906648</c:v>
                </c:pt>
                <c:pt idx="62">
                  <c:v>57851.9514154063</c:v>
                </c:pt>
                <c:pt idx="63">
                  <c:v>58116.787238396</c:v>
                </c:pt>
                <c:pt idx="64">
                  <c:v>58496.5978529635</c:v>
                </c:pt>
                <c:pt idx="65">
                  <c:v>58848.7168861619</c:v>
                </c:pt>
                <c:pt idx="66">
                  <c:v>59877.0133967695</c:v>
                </c:pt>
                <c:pt idx="67">
                  <c:v>61106.8375658802</c:v>
                </c:pt>
                <c:pt idx="68">
                  <c:v>61597.62260606</c:v>
                </c:pt>
                <c:pt idx="69">
                  <c:v>62174.9605131653</c:v>
                </c:pt>
                <c:pt idx="70">
                  <c:v>63343.2981379068</c:v>
                </c:pt>
                <c:pt idx="71">
                  <c:v>64545.4307256484</c:v>
                </c:pt>
                <c:pt idx="72">
                  <c:v>65070.0107288284</c:v>
                </c:pt>
                <c:pt idx="73">
                  <c:v>66410.8093235515</c:v>
                </c:pt>
                <c:pt idx="74">
                  <c:v>67300.4398271774</c:v>
                </c:pt>
                <c:pt idx="75">
                  <c:v>67680.250441745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92140"/>
        <c:axId val="623870090"/>
      </c:scatterChart>
      <c:valAx>
        <c:axId val="129692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870090"/>
        <c:crosses val="autoZero"/>
        <c:crossBetween val="midCat"/>
      </c:valAx>
      <c:valAx>
        <c:axId val="6238700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921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600710</xdr:colOff>
      <xdr:row>24</xdr:row>
      <xdr:rowOff>28575</xdr:rowOff>
    </xdr:from>
    <xdr:to>
      <xdr:col>36</xdr:col>
      <xdr:colOff>411480</xdr:colOff>
      <xdr:row>65</xdr:row>
      <xdr:rowOff>123190</xdr:rowOff>
    </xdr:to>
    <xdr:graphicFrame>
      <xdr:nvGraphicFramePr>
        <xdr:cNvPr id="5" name="图表 4"/>
        <xdr:cNvGraphicFramePr/>
      </xdr:nvGraphicFramePr>
      <xdr:xfrm>
        <a:off x="12600940" y="4143375"/>
        <a:ext cx="14898370" cy="7124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566420</xdr:colOff>
      <xdr:row>1</xdr:row>
      <xdr:rowOff>4445</xdr:rowOff>
    </xdr:from>
    <xdr:to>
      <xdr:col>27</xdr:col>
      <xdr:colOff>154305</xdr:colOff>
      <xdr:row>23</xdr:row>
      <xdr:rowOff>53340</xdr:rowOff>
    </xdr:to>
    <xdr:graphicFrame>
      <xdr:nvGraphicFramePr>
        <xdr:cNvPr id="2" name="图表 1"/>
        <xdr:cNvGraphicFramePr/>
      </xdr:nvGraphicFramePr>
      <xdr:xfrm>
        <a:off x="12566650" y="175895"/>
        <a:ext cx="8503285" cy="3820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469265</xdr:colOff>
      <xdr:row>68</xdr:row>
      <xdr:rowOff>42545</xdr:rowOff>
    </xdr:from>
    <xdr:to>
      <xdr:col>36</xdr:col>
      <xdr:colOff>431800</xdr:colOff>
      <xdr:row>108</xdr:row>
      <xdr:rowOff>52705</xdr:rowOff>
    </xdr:to>
    <xdr:graphicFrame>
      <xdr:nvGraphicFramePr>
        <xdr:cNvPr id="3" name="图表 2"/>
        <xdr:cNvGraphicFramePr/>
      </xdr:nvGraphicFramePr>
      <xdr:xfrm>
        <a:off x="12469495" y="11701145"/>
        <a:ext cx="15050135" cy="686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"/>
  <sheetViews>
    <sheetView zoomScale="55" zoomScaleNormal="55" workbookViewId="0">
      <selection activeCell="G79" sqref="G79"/>
    </sheetView>
  </sheetViews>
  <sheetFormatPr defaultColWidth="9" defaultRowHeight="13.5"/>
  <cols>
    <col min="1" max="1" width="9" style="8"/>
    <col min="2" max="2" width="13.75" style="8"/>
    <col min="3" max="3" width="9" style="8" customWidth="1"/>
    <col min="4" max="8" width="9" style="8"/>
    <col min="9" max="10" width="9" style="8" customWidth="1"/>
    <col min="11" max="11" width="9" style="8"/>
    <col min="12" max="13" width="9" style="8" customWidth="1"/>
    <col min="14" max="16384" width="9" style="8"/>
  </cols>
  <sheetData>
    <row r="1" spans="1:22">
      <c r="A1" s="3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4" t="s">
        <v>21</v>
      </c>
    </row>
    <row r="2" spans="1:22">
      <c r="A2" s="3" t="s">
        <v>22</v>
      </c>
      <c r="B2" s="3">
        <v>1450</v>
      </c>
      <c r="C2" s="12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1</v>
      </c>
      <c r="O2" s="4">
        <v>1</v>
      </c>
      <c r="P2" s="4">
        <v>0</v>
      </c>
      <c r="Q2" s="4">
        <v>0</v>
      </c>
      <c r="R2" s="4">
        <v>1</v>
      </c>
      <c r="S2" s="4">
        <v>1</v>
      </c>
      <c r="T2" s="4">
        <v>1</v>
      </c>
      <c r="U2" s="4">
        <v>1</v>
      </c>
      <c r="V2" s="15">
        <v>14401</v>
      </c>
    </row>
    <row r="3" spans="1:22">
      <c r="A3" s="3" t="s">
        <v>23</v>
      </c>
      <c r="B3" s="3">
        <v>800</v>
      </c>
      <c r="C3" s="12">
        <v>1</v>
      </c>
      <c r="D3" s="4">
        <v>1</v>
      </c>
      <c r="E3" s="4">
        <v>0</v>
      </c>
      <c r="F3" s="4">
        <v>1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15">
        <v>13401</v>
      </c>
    </row>
    <row r="4" spans="1:22">
      <c r="A4" s="3" t="s">
        <v>24</v>
      </c>
      <c r="B4" s="3">
        <v>1975</v>
      </c>
      <c r="C4" s="12">
        <v>1</v>
      </c>
      <c r="D4" s="4">
        <v>1</v>
      </c>
      <c r="E4" s="4">
        <v>1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15">
        <v>11901</v>
      </c>
    </row>
    <row r="5" spans="1:22">
      <c r="A5" s="3" t="s">
        <v>25</v>
      </c>
      <c r="B5" s="3">
        <v>950</v>
      </c>
      <c r="C5" s="12">
        <v>1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0</v>
      </c>
      <c r="U5" s="4">
        <v>1</v>
      </c>
      <c r="V5" s="15">
        <v>12401</v>
      </c>
    </row>
    <row r="6" spans="1:22">
      <c r="A6" s="3" t="s">
        <v>26</v>
      </c>
      <c r="B6" s="3">
        <v>2000</v>
      </c>
      <c r="C6" s="12">
        <v>1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1</v>
      </c>
      <c r="J6" s="4">
        <v>0</v>
      </c>
      <c r="K6" s="4">
        <v>1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1</v>
      </c>
      <c r="T6" s="4">
        <v>0</v>
      </c>
      <c r="U6" s="4">
        <v>1</v>
      </c>
      <c r="V6" s="15">
        <v>12401</v>
      </c>
    </row>
    <row r="7" spans="1:22">
      <c r="A7" s="3" t="s">
        <v>27</v>
      </c>
      <c r="B7" s="3">
        <v>1000</v>
      </c>
      <c r="C7" s="12">
        <v>0</v>
      </c>
      <c r="D7" s="4">
        <v>0</v>
      </c>
      <c r="E7" s="4">
        <v>0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1</v>
      </c>
      <c r="Q7" s="4">
        <v>0</v>
      </c>
      <c r="R7" s="4">
        <v>1</v>
      </c>
      <c r="S7" s="4">
        <v>0</v>
      </c>
      <c r="T7" s="4">
        <v>1</v>
      </c>
      <c r="U7" s="4">
        <v>1</v>
      </c>
      <c r="V7" s="15">
        <v>13401</v>
      </c>
    </row>
    <row r="8" spans="1:22">
      <c r="A8" s="3" t="s">
        <v>28</v>
      </c>
      <c r="B8" s="3">
        <v>1025</v>
      </c>
      <c r="C8" s="12">
        <v>1</v>
      </c>
      <c r="D8" s="4">
        <v>1</v>
      </c>
      <c r="E8" s="4">
        <v>1</v>
      </c>
      <c r="F8" s="4">
        <v>0</v>
      </c>
      <c r="G8" s="4">
        <v>1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0</v>
      </c>
      <c r="P8" s="4">
        <v>0</v>
      </c>
      <c r="Q8" s="4">
        <v>1</v>
      </c>
      <c r="R8" s="4">
        <v>0</v>
      </c>
      <c r="S8" s="4">
        <v>1</v>
      </c>
      <c r="T8" s="4">
        <v>0</v>
      </c>
      <c r="U8" s="4">
        <v>1</v>
      </c>
      <c r="V8" s="15">
        <v>17401</v>
      </c>
    </row>
    <row r="9" spans="1:22">
      <c r="A9" s="3" t="s">
        <v>29</v>
      </c>
      <c r="B9" s="3">
        <v>2400</v>
      </c>
      <c r="C9" s="12">
        <v>1</v>
      </c>
      <c r="D9" s="4">
        <v>0</v>
      </c>
      <c r="E9" s="4">
        <v>0</v>
      </c>
      <c r="F9" s="4">
        <v>1</v>
      </c>
      <c r="G9" s="4">
        <v>1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1</v>
      </c>
      <c r="Q9" s="4">
        <v>0</v>
      </c>
      <c r="R9" s="4">
        <v>1</v>
      </c>
      <c r="S9" s="4">
        <v>0</v>
      </c>
      <c r="T9" s="4">
        <v>0</v>
      </c>
      <c r="U9" s="4">
        <v>1</v>
      </c>
      <c r="V9" s="15">
        <v>11901</v>
      </c>
    </row>
    <row r="10" spans="1:22">
      <c r="A10" s="3" t="s">
        <v>30</v>
      </c>
      <c r="B10" s="3">
        <v>1800</v>
      </c>
      <c r="C10" s="12">
        <v>1</v>
      </c>
      <c r="D10" s="4">
        <v>1</v>
      </c>
      <c r="E10" s="4">
        <v>0</v>
      </c>
      <c r="F10" s="4">
        <v>1</v>
      </c>
      <c r="G10" s="4">
        <v>1</v>
      </c>
      <c r="H10" s="4">
        <v>0</v>
      </c>
      <c r="I10" s="4">
        <v>1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1</v>
      </c>
      <c r="P10" s="4">
        <v>1</v>
      </c>
      <c r="Q10" s="4">
        <v>0</v>
      </c>
      <c r="R10" s="4">
        <v>0</v>
      </c>
      <c r="S10" s="4">
        <v>1</v>
      </c>
      <c r="T10" s="4">
        <v>0</v>
      </c>
      <c r="U10" s="4">
        <v>1</v>
      </c>
      <c r="V10" s="15">
        <v>15401</v>
      </c>
    </row>
    <row r="11" spans="1:22">
      <c r="A11" s="3" t="s">
        <v>31</v>
      </c>
      <c r="B11" s="3">
        <v>725</v>
      </c>
      <c r="C11" s="12">
        <v>1</v>
      </c>
      <c r="D11" s="4">
        <v>1</v>
      </c>
      <c r="E11" s="4">
        <v>1</v>
      </c>
      <c r="F11" s="4">
        <v>0</v>
      </c>
      <c r="G11" s="4">
        <v>1</v>
      </c>
      <c r="H11" s="4">
        <v>1</v>
      </c>
      <c r="I11" s="4">
        <v>0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1</v>
      </c>
      <c r="R11" s="4">
        <v>0</v>
      </c>
      <c r="S11" s="4">
        <v>1</v>
      </c>
      <c r="T11" s="4">
        <v>0</v>
      </c>
      <c r="U11" s="4">
        <v>1</v>
      </c>
      <c r="V11" s="15">
        <v>17401</v>
      </c>
    </row>
    <row r="12" spans="1:22">
      <c r="A12" s="3" t="s">
        <v>32</v>
      </c>
      <c r="B12" s="3">
        <v>225</v>
      </c>
      <c r="C12" s="12">
        <v>1</v>
      </c>
      <c r="D12" s="4">
        <v>1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1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1</v>
      </c>
      <c r="V12" s="15">
        <v>11901</v>
      </c>
    </row>
    <row r="13" spans="1:22">
      <c r="A13" s="3" t="s">
        <v>33</v>
      </c>
      <c r="B13" s="3">
        <v>900</v>
      </c>
      <c r="C13" s="12">
        <v>1</v>
      </c>
      <c r="D13" s="4">
        <v>0</v>
      </c>
      <c r="E13" s="4">
        <v>1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1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  <c r="U13" s="4">
        <v>1</v>
      </c>
      <c r="V13" s="15">
        <v>14401</v>
      </c>
    </row>
    <row r="14" spans="1:22">
      <c r="A14" s="3" t="s">
        <v>34</v>
      </c>
      <c r="B14" s="3">
        <v>625</v>
      </c>
      <c r="C14" s="12">
        <v>1</v>
      </c>
      <c r="D14" s="4">
        <v>0</v>
      </c>
      <c r="E14" s="4">
        <v>0</v>
      </c>
      <c r="F14" s="4">
        <v>1</v>
      </c>
      <c r="G14" s="4">
        <v>0</v>
      </c>
      <c r="H14" s="4">
        <v>1</v>
      </c>
      <c r="I14" s="4">
        <v>0</v>
      </c>
      <c r="J14" s="4">
        <v>0</v>
      </c>
      <c r="K14" s="4">
        <v>1</v>
      </c>
      <c r="L14" s="4">
        <v>0</v>
      </c>
      <c r="M14" s="4">
        <v>1</v>
      </c>
      <c r="N14" s="4">
        <v>0</v>
      </c>
      <c r="O14" s="4">
        <v>0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1</v>
      </c>
      <c r="V14" s="15">
        <v>11901</v>
      </c>
    </row>
    <row r="15" spans="1:22">
      <c r="A15" s="3" t="s">
        <v>35</v>
      </c>
      <c r="B15" s="3">
        <v>875</v>
      </c>
      <c r="C15" s="12">
        <v>1</v>
      </c>
      <c r="D15" s="4">
        <v>1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1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1</v>
      </c>
      <c r="V15" s="15">
        <v>11401</v>
      </c>
    </row>
    <row r="16" spans="1:22">
      <c r="A16" s="3" t="s">
        <v>36</v>
      </c>
      <c r="B16" s="3">
        <v>1725</v>
      </c>
      <c r="C16" s="12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4">
        <v>1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0</v>
      </c>
      <c r="S16" s="4">
        <v>1</v>
      </c>
      <c r="T16" s="4">
        <v>1</v>
      </c>
      <c r="U16" s="4">
        <v>1</v>
      </c>
      <c r="V16" s="15">
        <v>11401</v>
      </c>
    </row>
    <row r="17" spans="1:22">
      <c r="A17" s="3" t="s">
        <v>37</v>
      </c>
      <c r="B17" s="3">
        <v>1800</v>
      </c>
      <c r="C17" s="12">
        <v>1</v>
      </c>
      <c r="D17" s="4">
        <v>1</v>
      </c>
      <c r="E17" s="4">
        <v>1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1</v>
      </c>
      <c r="L17" s="4">
        <v>0</v>
      </c>
      <c r="M17" s="4">
        <v>1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15">
        <v>15901</v>
      </c>
    </row>
    <row r="18" spans="1:22">
      <c r="A18" s="3" t="s">
        <v>38</v>
      </c>
      <c r="B18" s="3">
        <v>75</v>
      </c>
      <c r="C18" s="12">
        <v>1</v>
      </c>
      <c r="D18" s="4">
        <v>0</v>
      </c>
      <c r="E18" s="4">
        <v>0</v>
      </c>
      <c r="F18" s="4">
        <v>0</v>
      </c>
      <c r="G18" s="4">
        <v>1</v>
      </c>
      <c r="H18" s="4">
        <v>1</v>
      </c>
      <c r="I18" s="4">
        <v>1</v>
      </c>
      <c r="J18" s="4">
        <v>0</v>
      </c>
      <c r="K18" s="4">
        <v>1</v>
      </c>
      <c r="L18" s="4">
        <v>0</v>
      </c>
      <c r="M18" s="4">
        <v>1</v>
      </c>
      <c r="N18" s="4">
        <v>1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</v>
      </c>
      <c r="V18" s="15">
        <v>14901</v>
      </c>
    </row>
    <row r="19" spans="1:22">
      <c r="A19" s="3" t="s">
        <v>39</v>
      </c>
      <c r="B19" s="3">
        <v>-500</v>
      </c>
      <c r="C19" s="12">
        <v>1</v>
      </c>
      <c r="D19" s="4">
        <v>0</v>
      </c>
      <c r="E19" s="4">
        <v>0</v>
      </c>
      <c r="F19" s="4">
        <v>0</v>
      </c>
      <c r="G19" s="4">
        <v>1</v>
      </c>
      <c r="H19" s="4">
        <v>1</v>
      </c>
      <c r="I19" s="4">
        <v>1</v>
      </c>
      <c r="J19" s="4">
        <v>0</v>
      </c>
      <c r="K19" s="4">
        <v>1</v>
      </c>
      <c r="L19" s="4">
        <v>0</v>
      </c>
      <c r="M19" s="4">
        <v>1</v>
      </c>
      <c r="N19" s="4">
        <v>1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15">
        <v>14901</v>
      </c>
    </row>
    <row r="20" spans="1:22">
      <c r="A20" s="3" t="s">
        <v>40</v>
      </c>
      <c r="B20" s="3">
        <v>600</v>
      </c>
      <c r="C20" s="12">
        <v>1</v>
      </c>
      <c r="D20" s="4">
        <v>0</v>
      </c>
      <c r="E20" s="4">
        <v>1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1</v>
      </c>
      <c r="P20" s="4">
        <v>1</v>
      </c>
      <c r="Q20" s="4">
        <v>1</v>
      </c>
      <c r="R20" s="4">
        <v>0</v>
      </c>
      <c r="S20" s="4">
        <v>0</v>
      </c>
      <c r="T20" s="4">
        <v>0</v>
      </c>
      <c r="U20" s="4">
        <v>1</v>
      </c>
      <c r="V20" s="15">
        <v>12401</v>
      </c>
    </row>
    <row r="21" spans="1:22">
      <c r="A21" s="3" t="s">
        <v>41</v>
      </c>
      <c r="B21" s="3">
        <v>975</v>
      </c>
      <c r="C21" s="12">
        <v>1</v>
      </c>
      <c r="D21" s="4">
        <v>1</v>
      </c>
      <c r="E21" s="4">
        <v>0</v>
      </c>
      <c r="F21" s="4">
        <v>0</v>
      </c>
      <c r="G21" s="4">
        <v>1</v>
      </c>
      <c r="H21" s="4">
        <v>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1</v>
      </c>
      <c r="Q21" s="4">
        <v>1</v>
      </c>
      <c r="R21" s="4">
        <v>1</v>
      </c>
      <c r="S21" s="4">
        <v>0</v>
      </c>
      <c r="T21" s="4">
        <v>0</v>
      </c>
      <c r="U21" s="4">
        <v>1</v>
      </c>
      <c r="V21" s="15">
        <v>12901</v>
      </c>
    </row>
    <row r="22" spans="1:22">
      <c r="A22" s="3" t="s">
        <v>42</v>
      </c>
      <c r="B22" s="3">
        <v>450</v>
      </c>
      <c r="C22" s="12">
        <v>1</v>
      </c>
      <c r="D22" s="4">
        <v>0</v>
      </c>
      <c r="E22" s="4">
        <v>0</v>
      </c>
      <c r="F22" s="4">
        <v>0</v>
      </c>
      <c r="G22" s="4">
        <v>1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1</v>
      </c>
      <c r="P22" s="4">
        <v>0</v>
      </c>
      <c r="Q22" s="4">
        <v>1</v>
      </c>
      <c r="R22" s="4">
        <v>0</v>
      </c>
      <c r="S22" s="4">
        <v>0</v>
      </c>
      <c r="T22" s="4">
        <v>1</v>
      </c>
      <c r="U22" s="4">
        <v>1</v>
      </c>
      <c r="V22" s="15">
        <v>12401</v>
      </c>
    </row>
    <row r="23" spans="1:22">
      <c r="A23" s="3" t="s">
        <v>43</v>
      </c>
      <c r="B23" s="3">
        <v>2225</v>
      </c>
      <c r="C23" s="12">
        <v>1</v>
      </c>
      <c r="D23" s="4">
        <v>1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s="4">
        <v>0</v>
      </c>
      <c r="M23" s="4">
        <v>0</v>
      </c>
      <c r="N23" s="4">
        <v>0</v>
      </c>
      <c r="O23" s="4">
        <v>1</v>
      </c>
      <c r="P23" s="4">
        <v>1</v>
      </c>
      <c r="Q23" s="4">
        <v>0</v>
      </c>
      <c r="R23" s="4">
        <v>1</v>
      </c>
      <c r="S23" s="4">
        <v>0</v>
      </c>
      <c r="T23" s="4">
        <v>1</v>
      </c>
      <c r="U23" s="4">
        <v>1</v>
      </c>
      <c r="V23" s="15">
        <v>14401</v>
      </c>
    </row>
    <row r="24" spans="1:22">
      <c r="A24" s="3" t="s">
        <v>44</v>
      </c>
      <c r="B24" s="3">
        <v>1725</v>
      </c>
      <c r="C24" s="12">
        <v>1</v>
      </c>
      <c r="D24" s="4">
        <v>0</v>
      </c>
      <c r="E24" s="4">
        <v>1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15">
        <v>16401</v>
      </c>
    </row>
    <row r="25" spans="1:22">
      <c r="A25" s="3" t="s">
        <v>45</v>
      </c>
      <c r="B25" s="3">
        <v>3250</v>
      </c>
      <c r="C25" s="12">
        <v>1</v>
      </c>
      <c r="D25" s="4">
        <v>0</v>
      </c>
      <c r="E25" s="4">
        <v>1</v>
      </c>
      <c r="F25" s="4">
        <v>0</v>
      </c>
      <c r="G25" s="4">
        <v>1</v>
      </c>
      <c r="H25" s="4">
        <v>0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0</v>
      </c>
      <c r="U25" s="4">
        <v>1</v>
      </c>
      <c r="V25" s="15">
        <v>11901</v>
      </c>
    </row>
    <row r="26" spans="1:22">
      <c r="A26" s="3" t="s">
        <v>46</v>
      </c>
      <c r="B26" s="3">
        <v>2100</v>
      </c>
      <c r="C26" s="12">
        <v>1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1</v>
      </c>
      <c r="T26" s="4">
        <v>1</v>
      </c>
      <c r="U26" s="4">
        <v>1</v>
      </c>
      <c r="V26" s="15">
        <v>9401</v>
      </c>
    </row>
    <row r="27" spans="1:22">
      <c r="A27" s="3" t="s">
        <v>47</v>
      </c>
      <c r="B27" s="3">
        <v>900</v>
      </c>
      <c r="C27" s="12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  <c r="O27" s="4">
        <v>1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15">
        <v>10901</v>
      </c>
    </row>
    <row r="28" spans="1:22">
      <c r="A28" s="3" t="s">
        <v>48</v>
      </c>
      <c r="B28" s="3">
        <v>925</v>
      </c>
      <c r="C28" s="12">
        <v>1</v>
      </c>
      <c r="D28" s="4">
        <v>0</v>
      </c>
      <c r="E28" s="4">
        <v>1</v>
      </c>
      <c r="F28" s="4">
        <v>0</v>
      </c>
      <c r="G28" s="4">
        <v>1</v>
      </c>
      <c r="H28" s="4">
        <v>0</v>
      </c>
      <c r="I28" s="4">
        <v>1</v>
      </c>
      <c r="J28" s="4">
        <v>0</v>
      </c>
      <c r="K28" s="4">
        <v>1</v>
      </c>
      <c r="L28" s="4">
        <v>0</v>
      </c>
      <c r="M28" s="4">
        <v>0</v>
      </c>
      <c r="N28" s="4">
        <v>1</v>
      </c>
      <c r="O28" s="4">
        <v>1</v>
      </c>
      <c r="P28" s="4">
        <v>0</v>
      </c>
      <c r="Q28" s="4">
        <v>1</v>
      </c>
      <c r="R28" s="4">
        <v>0</v>
      </c>
      <c r="S28" s="4">
        <v>1</v>
      </c>
      <c r="T28" s="4">
        <v>0</v>
      </c>
      <c r="U28" s="4">
        <v>1</v>
      </c>
      <c r="V28" s="15">
        <v>16401</v>
      </c>
    </row>
    <row r="29" spans="1:22">
      <c r="A29" s="3" t="s">
        <v>49</v>
      </c>
      <c r="B29" s="3">
        <v>275</v>
      </c>
      <c r="C29" s="12">
        <v>1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0</v>
      </c>
      <c r="K29" s="4">
        <v>1</v>
      </c>
      <c r="L29" s="4">
        <v>0</v>
      </c>
      <c r="M29" s="4">
        <v>0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1</v>
      </c>
      <c r="V29" s="15">
        <v>12401</v>
      </c>
    </row>
    <row r="30" spans="1:22">
      <c r="A30" s="3" t="s">
        <v>50</v>
      </c>
      <c r="B30" s="3">
        <v>-25</v>
      </c>
      <c r="C30" s="12">
        <v>1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0</v>
      </c>
      <c r="J30" s="4">
        <v>0</v>
      </c>
      <c r="K30" s="4">
        <v>1</v>
      </c>
      <c r="L30" s="4">
        <v>0</v>
      </c>
      <c r="M30" s="4">
        <v>1</v>
      </c>
      <c r="N30" s="4">
        <v>0</v>
      </c>
      <c r="O30" s="4">
        <v>1</v>
      </c>
      <c r="P30" s="4">
        <v>0</v>
      </c>
      <c r="Q30" s="4">
        <v>0</v>
      </c>
      <c r="R30" s="4">
        <v>1</v>
      </c>
      <c r="S30" s="4">
        <v>0</v>
      </c>
      <c r="T30" s="4">
        <v>0</v>
      </c>
      <c r="U30" s="4">
        <v>1</v>
      </c>
      <c r="V30" s="15">
        <v>11401</v>
      </c>
    </row>
    <row r="31" ht="14.25" spans="1:22">
      <c r="A31" s="3" t="s">
        <v>51</v>
      </c>
      <c r="B31" s="3">
        <v>1300</v>
      </c>
      <c r="C31" s="13">
        <v>1</v>
      </c>
      <c r="D31" s="13">
        <v>1</v>
      </c>
      <c r="E31" s="13">
        <v>1</v>
      </c>
      <c r="F31" s="13">
        <v>1</v>
      </c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1</v>
      </c>
      <c r="Q31" s="13">
        <v>1</v>
      </c>
      <c r="R31" s="13">
        <v>1</v>
      </c>
      <c r="S31" s="13">
        <v>0</v>
      </c>
      <c r="T31" s="13">
        <v>0</v>
      </c>
      <c r="U31" s="13">
        <v>1</v>
      </c>
      <c r="V31" s="16">
        <v>12401</v>
      </c>
    </row>
    <row r="32" spans="1:22">
      <c r="A32" s="3" t="s">
        <v>52</v>
      </c>
      <c r="B32" s="3">
        <v>725</v>
      </c>
      <c r="C32" s="11">
        <v>1</v>
      </c>
      <c r="D32" s="11">
        <v>0</v>
      </c>
      <c r="E32" s="11">
        <v>0</v>
      </c>
      <c r="F32" s="11">
        <v>1</v>
      </c>
      <c r="G32" s="11">
        <v>0</v>
      </c>
      <c r="H32" s="11">
        <v>1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1</v>
      </c>
      <c r="Q32" s="11">
        <v>0</v>
      </c>
      <c r="R32" s="11">
        <v>1</v>
      </c>
      <c r="S32" s="11">
        <v>1</v>
      </c>
      <c r="T32" s="11">
        <v>1</v>
      </c>
      <c r="U32" s="11">
        <v>1</v>
      </c>
      <c r="V32" s="14">
        <v>11401</v>
      </c>
    </row>
    <row r="33" spans="1:22">
      <c r="A33" s="3" t="s">
        <v>53</v>
      </c>
      <c r="B33" s="3">
        <v>825</v>
      </c>
      <c r="C33" s="12">
        <v>0</v>
      </c>
      <c r="D33" s="4">
        <v>1</v>
      </c>
      <c r="E33" s="4">
        <v>0</v>
      </c>
      <c r="F33" s="4">
        <v>1</v>
      </c>
      <c r="G33" s="4">
        <v>1</v>
      </c>
      <c r="H33" s="4">
        <v>1</v>
      </c>
      <c r="I33" s="4">
        <v>1</v>
      </c>
      <c r="J33" s="4">
        <v>0</v>
      </c>
      <c r="K33" s="4">
        <v>1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0</v>
      </c>
      <c r="S33" s="4">
        <v>0</v>
      </c>
      <c r="T33" s="4">
        <v>1</v>
      </c>
      <c r="U33" s="4">
        <v>1</v>
      </c>
      <c r="V33" s="15">
        <v>15401</v>
      </c>
    </row>
    <row r="34" spans="1:22">
      <c r="A34" s="3" t="s">
        <v>54</v>
      </c>
      <c r="B34" s="3">
        <v>-575</v>
      </c>
      <c r="C34" s="12">
        <v>1</v>
      </c>
      <c r="D34" s="4">
        <v>1</v>
      </c>
      <c r="E34" s="4">
        <v>1</v>
      </c>
      <c r="F34" s="4">
        <v>1</v>
      </c>
      <c r="G34" s="4">
        <v>0</v>
      </c>
      <c r="H34" s="4">
        <v>1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1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</v>
      </c>
      <c r="V34" s="15">
        <v>15401</v>
      </c>
    </row>
    <row r="35" spans="1:22">
      <c r="A35" s="3" t="s">
        <v>55</v>
      </c>
      <c r="B35" s="3">
        <v>1150</v>
      </c>
      <c r="C35" s="12">
        <v>1</v>
      </c>
      <c r="D35" s="4">
        <v>0</v>
      </c>
      <c r="E35" s="4">
        <v>0</v>
      </c>
      <c r="F35" s="4">
        <v>1</v>
      </c>
      <c r="G35" s="4">
        <v>0</v>
      </c>
      <c r="H35" s="4">
        <v>1</v>
      </c>
      <c r="I35" s="4">
        <v>0</v>
      </c>
      <c r="J35" s="4">
        <v>0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15">
        <v>12401</v>
      </c>
    </row>
    <row r="36" spans="1:22">
      <c r="A36" s="3" t="s">
        <v>56</v>
      </c>
      <c r="B36" s="3">
        <v>-150</v>
      </c>
      <c r="C36" s="12">
        <v>0</v>
      </c>
      <c r="D36" s="4">
        <v>1</v>
      </c>
      <c r="E36" s="4">
        <v>1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1</v>
      </c>
      <c r="P36" s="4">
        <v>0</v>
      </c>
      <c r="Q36" s="4">
        <v>1</v>
      </c>
      <c r="R36" s="4">
        <v>0</v>
      </c>
      <c r="S36" s="4">
        <v>1</v>
      </c>
      <c r="T36" s="4">
        <v>0</v>
      </c>
      <c r="U36" s="4">
        <v>1</v>
      </c>
      <c r="V36" s="15">
        <v>13901</v>
      </c>
    </row>
    <row r="37" spans="1:22">
      <c r="A37" s="3" t="s">
        <v>57</v>
      </c>
      <c r="B37" s="3">
        <v>-75</v>
      </c>
      <c r="C37" s="12">
        <v>0</v>
      </c>
      <c r="D37" s="4">
        <v>1</v>
      </c>
      <c r="E37" s="4">
        <v>0</v>
      </c>
      <c r="F37" s="4">
        <v>1</v>
      </c>
      <c r="G37" s="4">
        <v>0</v>
      </c>
      <c r="H37" s="4">
        <v>1</v>
      </c>
      <c r="I37" s="4">
        <v>1</v>
      </c>
      <c r="J37" s="4">
        <v>0</v>
      </c>
      <c r="K37" s="4">
        <v>1</v>
      </c>
      <c r="L37" s="4">
        <v>0</v>
      </c>
      <c r="M37" s="4">
        <v>0</v>
      </c>
      <c r="N37" s="4">
        <v>1</v>
      </c>
      <c r="O37" s="4">
        <v>1</v>
      </c>
      <c r="P37" s="4">
        <v>0</v>
      </c>
      <c r="Q37" s="4">
        <v>0</v>
      </c>
      <c r="R37" s="4">
        <v>0</v>
      </c>
      <c r="S37" s="4">
        <v>1</v>
      </c>
      <c r="T37" s="4">
        <v>0</v>
      </c>
      <c r="U37" s="4">
        <v>1</v>
      </c>
      <c r="V37" s="15">
        <v>13901</v>
      </c>
    </row>
    <row r="38" spans="1:22">
      <c r="A38" s="3" t="s">
        <v>58</v>
      </c>
      <c r="B38" s="3">
        <v>1325</v>
      </c>
      <c r="C38" s="12">
        <v>1</v>
      </c>
      <c r="D38" s="4">
        <v>0</v>
      </c>
      <c r="E38" s="4">
        <v>1</v>
      </c>
      <c r="F38" s="4">
        <v>0</v>
      </c>
      <c r="G38" s="4">
        <v>0</v>
      </c>
      <c r="H38" s="4">
        <v>1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1</v>
      </c>
      <c r="Q38" s="4">
        <v>1</v>
      </c>
      <c r="R38" s="4">
        <v>0</v>
      </c>
      <c r="S38" s="4">
        <v>1</v>
      </c>
      <c r="T38" s="4">
        <v>1</v>
      </c>
      <c r="U38" s="4">
        <v>1</v>
      </c>
      <c r="V38" s="15">
        <v>14401</v>
      </c>
    </row>
    <row r="39" spans="1:22">
      <c r="A39" s="3" t="s">
        <v>59</v>
      </c>
      <c r="B39" s="3">
        <v>625</v>
      </c>
      <c r="C39" s="12">
        <v>1</v>
      </c>
      <c r="D39" s="4">
        <v>1</v>
      </c>
      <c r="E39" s="4">
        <v>0</v>
      </c>
      <c r="F39" s="4">
        <v>1</v>
      </c>
      <c r="G39" s="4">
        <v>1</v>
      </c>
      <c r="H39" s="4">
        <v>1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1</v>
      </c>
      <c r="U39" s="4">
        <v>1</v>
      </c>
      <c r="V39" s="15">
        <v>14401</v>
      </c>
    </row>
    <row r="40" spans="1:22">
      <c r="A40" s="3" t="s">
        <v>60</v>
      </c>
      <c r="B40" s="3">
        <v>-50</v>
      </c>
      <c r="C40" s="12">
        <v>1</v>
      </c>
      <c r="D40" s="4">
        <v>0</v>
      </c>
      <c r="E40" s="4">
        <v>0</v>
      </c>
      <c r="F40" s="4">
        <v>0</v>
      </c>
      <c r="G40" s="4">
        <v>0</v>
      </c>
      <c r="H40" s="4">
        <v>1</v>
      </c>
      <c r="I40" s="4">
        <v>1</v>
      </c>
      <c r="J40" s="4">
        <v>0</v>
      </c>
      <c r="K40" s="4">
        <v>0</v>
      </c>
      <c r="L40" s="4">
        <v>0</v>
      </c>
      <c r="M40" s="4">
        <v>1</v>
      </c>
      <c r="N40" s="4">
        <v>1</v>
      </c>
      <c r="O40" s="4">
        <v>1</v>
      </c>
      <c r="P40" s="4">
        <v>1</v>
      </c>
      <c r="Q40" s="4">
        <v>0</v>
      </c>
      <c r="R40" s="4">
        <v>1</v>
      </c>
      <c r="S40" s="4">
        <v>0</v>
      </c>
      <c r="T40" s="4">
        <v>0</v>
      </c>
      <c r="U40" s="4">
        <v>1</v>
      </c>
      <c r="V40" s="15">
        <v>11401</v>
      </c>
    </row>
    <row r="41" spans="1:22">
      <c r="A41" s="3" t="s">
        <v>61</v>
      </c>
      <c r="B41" s="3">
        <v>1125</v>
      </c>
      <c r="C41" s="12">
        <v>1</v>
      </c>
      <c r="D41" s="4">
        <v>0</v>
      </c>
      <c r="E41" s="4">
        <v>1</v>
      </c>
      <c r="F41" s="4">
        <v>1</v>
      </c>
      <c r="G41" s="4">
        <v>1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0</v>
      </c>
      <c r="R41" s="4">
        <v>1</v>
      </c>
      <c r="S41" s="4">
        <v>0</v>
      </c>
      <c r="T41" s="4">
        <v>0</v>
      </c>
      <c r="U41" s="4">
        <v>1</v>
      </c>
      <c r="V41" s="15">
        <v>15901</v>
      </c>
    </row>
    <row r="42" spans="1:22">
      <c r="A42" s="3" t="s">
        <v>62</v>
      </c>
      <c r="B42" s="3">
        <v>250</v>
      </c>
      <c r="C42" s="12">
        <v>1</v>
      </c>
      <c r="D42" s="4">
        <v>1</v>
      </c>
      <c r="E42" s="4">
        <v>1</v>
      </c>
      <c r="F42" s="4">
        <v>1</v>
      </c>
      <c r="G42" s="4">
        <v>0</v>
      </c>
      <c r="H42" s="4">
        <v>1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1</v>
      </c>
      <c r="V42" s="15">
        <v>15401</v>
      </c>
    </row>
    <row r="43" spans="1:22">
      <c r="A43" s="3" t="s">
        <v>63</v>
      </c>
      <c r="B43" s="3">
        <v>225</v>
      </c>
      <c r="C43" s="12">
        <v>1</v>
      </c>
      <c r="D43" s="4">
        <v>0</v>
      </c>
      <c r="E43" s="4">
        <v>1</v>
      </c>
      <c r="F43" s="4">
        <v>0</v>
      </c>
      <c r="G43" s="4">
        <v>0</v>
      </c>
      <c r="H43" s="4">
        <v>1</v>
      </c>
      <c r="I43" s="4">
        <v>1</v>
      </c>
      <c r="J43" s="4">
        <v>0</v>
      </c>
      <c r="K43" s="4">
        <v>0</v>
      </c>
      <c r="L43" s="4">
        <v>0</v>
      </c>
      <c r="M43" s="4">
        <v>1</v>
      </c>
      <c r="N43" s="4">
        <v>1</v>
      </c>
      <c r="O43" s="4">
        <v>0</v>
      </c>
      <c r="P43" s="4">
        <v>0</v>
      </c>
      <c r="Q43" s="4">
        <v>1</v>
      </c>
      <c r="R43" s="4">
        <v>0</v>
      </c>
      <c r="S43" s="4">
        <v>0</v>
      </c>
      <c r="T43" s="4">
        <v>1</v>
      </c>
      <c r="U43" s="4">
        <v>1</v>
      </c>
      <c r="V43" s="15">
        <v>12901</v>
      </c>
    </row>
    <row r="44" spans="1:22">
      <c r="A44" s="3" t="s">
        <v>64</v>
      </c>
      <c r="B44" s="3">
        <v>1400</v>
      </c>
      <c r="C44" s="12">
        <v>1</v>
      </c>
      <c r="D44" s="4">
        <v>0</v>
      </c>
      <c r="E44" s="4">
        <v>1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1</v>
      </c>
      <c r="N44" s="4">
        <v>0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1</v>
      </c>
      <c r="U44" s="4">
        <v>1</v>
      </c>
      <c r="V44" s="15">
        <v>12901</v>
      </c>
    </row>
    <row r="45" spans="1:22">
      <c r="A45" s="3" t="s">
        <v>65</v>
      </c>
      <c r="B45" s="3">
        <v>675</v>
      </c>
      <c r="C45" s="12">
        <v>1</v>
      </c>
      <c r="D45" s="4">
        <v>0</v>
      </c>
      <c r="E45" s="4">
        <v>0</v>
      </c>
      <c r="F45" s="4">
        <v>1</v>
      </c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</v>
      </c>
      <c r="O45" s="4">
        <v>1</v>
      </c>
      <c r="P45" s="4">
        <v>0</v>
      </c>
      <c r="Q45" s="4">
        <v>0</v>
      </c>
      <c r="R45" s="4">
        <v>0</v>
      </c>
      <c r="S45" s="4">
        <v>1</v>
      </c>
      <c r="T45" s="4">
        <v>1</v>
      </c>
      <c r="U45" s="4">
        <v>1</v>
      </c>
      <c r="V45" s="15">
        <v>14901</v>
      </c>
    </row>
    <row r="46" ht="14.25" spans="1:22">
      <c r="A46" s="3" t="s">
        <v>66</v>
      </c>
      <c r="B46" s="3">
        <v>-75</v>
      </c>
      <c r="C46" s="13">
        <v>1</v>
      </c>
      <c r="D46" s="13">
        <v>1</v>
      </c>
      <c r="E46" s="13">
        <v>0</v>
      </c>
      <c r="F46" s="13">
        <v>0</v>
      </c>
      <c r="G46" s="13">
        <v>0</v>
      </c>
      <c r="H46" s="13">
        <v>1</v>
      </c>
      <c r="I46" s="13">
        <v>0</v>
      </c>
      <c r="J46" s="13">
        <v>0</v>
      </c>
      <c r="K46" s="13">
        <v>1</v>
      </c>
      <c r="L46" s="13">
        <v>0</v>
      </c>
      <c r="M46" s="13">
        <v>1</v>
      </c>
      <c r="N46" s="13">
        <v>0</v>
      </c>
      <c r="O46" s="13">
        <v>1</v>
      </c>
      <c r="P46" s="13">
        <v>0</v>
      </c>
      <c r="Q46" s="13">
        <v>1</v>
      </c>
      <c r="R46" s="13">
        <v>0</v>
      </c>
      <c r="S46" s="13">
        <v>1</v>
      </c>
      <c r="T46" s="13">
        <v>0</v>
      </c>
      <c r="U46" s="13">
        <v>1</v>
      </c>
      <c r="V46" s="16">
        <v>11901</v>
      </c>
    </row>
    <row r="47" spans="1:22">
      <c r="A47" s="3" t="s">
        <v>67</v>
      </c>
      <c r="B47" s="3">
        <v>2850</v>
      </c>
      <c r="C47" s="11">
        <v>1</v>
      </c>
      <c r="D47" s="11">
        <v>0</v>
      </c>
      <c r="E47" s="11">
        <v>1</v>
      </c>
      <c r="F47" s="11">
        <v>0</v>
      </c>
      <c r="G47" s="11">
        <v>1</v>
      </c>
      <c r="H47" s="11">
        <v>1</v>
      </c>
      <c r="I47" s="11">
        <v>1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  <c r="O47" s="11">
        <v>0</v>
      </c>
      <c r="P47" s="11">
        <v>0</v>
      </c>
      <c r="Q47" s="11">
        <v>0</v>
      </c>
      <c r="R47" s="11">
        <v>1</v>
      </c>
      <c r="S47" s="11">
        <v>1</v>
      </c>
      <c r="T47" s="11">
        <v>0</v>
      </c>
      <c r="U47" s="11">
        <v>0</v>
      </c>
      <c r="V47" s="14">
        <v>15401</v>
      </c>
    </row>
    <row r="48" spans="1:22">
      <c r="A48" s="3" t="s">
        <v>68</v>
      </c>
      <c r="B48" s="3">
        <v>175</v>
      </c>
      <c r="C48" s="12">
        <v>0</v>
      </c>
      <c r="D48" s="4">
        <v>0</v>
      </c>
      <c r="E48" s="4">
        <v>1</v>
      </c>
      <c r="F48" s="4">
        <v>1</v>
      </c>
      <c r="G48" s="4">
        <v>1</v>
      </c>
      <c r="H48" s="4">
        <v>1</v>
      </c>
      <c r="I48" s="4">
        <v>0</v>
      </c>
      <c r="J48" s="4">
        <v>0</v>
      </c>
      <c r="K48" s="4">
        <v>1</v>
      </c>
      <c r="L48" s="4">
        <v>0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0</v>
      </c>
      <c r="S48" s="4">
        <v>0</v>
      </c>
      <c r="T48" s="4">
        <v>0</v>
      </c>
      <c r="U48" s="4">
        <v>1</v>
      </c>
      <c r="V48" s="15">
        <v>15901</v>
      </c>
    </row>
    <row r="49" spans="1:22">
      <c r="A49" s="3" t="s">
        <v>69</v>
      </c>
      <c r="B49" s="3">
        <v>1625</v>
      </c>
      <c r="C49" s="12">
        <v>1</v>
      </c>
      <c r="D49" s="4">
        <v>0</v>
      </c>
      <c r="E49" s="4">
        <v>1</v>
      </c>
      <c r="F49" s="4">
        <v>0</v>
      </c>
      <c r="G49" s="4">
        <v>1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0</v>
      </c>
      <c r="S49" s="4">
        <v>1</v>
      </c>
      <c r="T49" s="4">
        <v>1</v>
      </c>
      <c r="U49" s="4">
        <v>1</v>
      </c>
      <c r="V49" s="15">
        <v>13901</v>
      </c>
    </row>
    <row r="50" spans="1:22">
      <c r="A50" s="3" t="s">
        <v>70</v>
      </c>
      <c r="B50" s="3">
        <v>1650</v>
      </c>
      <c r="C50" s="12">
        <v>1</v>
      </c>
      <c r="D50" s="4">
        <v>0</v>
      </c>
      <c r="E50" s="4">
        <v>0</v>
      </c>
      <c r="F50" s="4">
        <v>0</v>
      </c>
      <c r="G50" s="4">
        <v>1</v>
      </c>
      <c r="H50" s="4">
        <v>1</v>
      </c>
      <c r="I50" s="4">
        <v>1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1</v>
      </c>
      <c r="R50" s="4">
        <v>0</v>
      </c>
      <c r="S50" s="4">
        <v>1</v>
      </c>
      <c r="T50" s="4">
        <v>0</v>
      </c>
      <c r="U50" s="4">
        <v>1</v>
      </c>
      <c r="V50" s="15">
        <v>11401</v>
      </c>
    </row>
    <row r="51" spans="1:22">
      <c r="A51" s="3" t="s">
        <v>71</v>
      </c>
      <c r="B51" s="3">
        <v>1050</v>
      </c>
      <c r="C51" s="12">
        <v>1</v>
      </c>
      <c r="D51" s="4">
        <v>0</v>
      </c>
      <c r="E51" s="4">
        <v>1</v>
      </c>
      <c r="F51" s="4">
        <v>1</v>
      </c>
      <c r="G51" s="4">
        <v>1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1</v>
      </c>
      <c r="V51" s="15">
        <v>12901</v>
      </c>
    </row>
    <row r="52" spans="1:22">
      <c r="A52" s="3" t="s">
        <v>72</v>
      </c>
      <c r="B52" s="3">
        <v>675</v>
      </c>
      <c r="C52" s="12">
        <v>1</v>
      </c>
      <c r="D52" s="4">
        <v>0</v>
      </c>
      <c r="E52" s="4">
        <v>0</v>
      </c>
      <c r="F52" s="4">
        <v>0</v>
      </c>
      <c r="G52" s="4">
        <v>0</v>
      </c>
      <c r="H52" s="4">
        <v>1</v>
      </c>
      <c r="I52" s="4">
        <v>1</v>
      </c>
      <c r="J52" s="4">
        <v>0</v>
      </c>
      <c r="K52" s="4">
        <v>0</v>
      </c>
      <c r="L52" s="4">
        <v>0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0</v>
      </c>
      <c r="S52" s="4">
        <v>1</v>
      </c>
      <c r="T52" s="4">
        <v>0</v>
      </c>
      <c r="U52" s="4">
        <v>0</v>
      </c>
      <c r="V52" s="15">
        <v>10901</v>
      </c>
    </row>
    <row r="53" spans="1:22">
      <c r="A53" s="3" t="s">
        <v>73</v>
      </c>
      <c r="B53" s="3">
        <v>600</v>
      </c>
      <c r="C53" s="12">
        <v>1</v>
      </c>
      <c r="D53" s="4">
        <v>1</v>
      </c>
      <c r="E53" s="4">
        <v>0</v>
      </c>
      <c r="F53" s="4">
        <v>1</v>
      </c>
      <c r="G53" s="4">
        <v>1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1</v>
      </c>
      <c r="P53" s="4">
        <v>0</v>
      </c>
      <c r="Q53" s="4">
        <v>1</v>
      </c>
      <c r="R53" s="4">
        <v>1</v>
      </c>
      <c r="S53" s="4">
        <v>0</v>
      </c>
      <c r="T53" s="4">
        <v>0</v>
      </c>
      <c r="U53" s="4">
        <v>0</v>
      </c>
      <c r="V53" s="15">
        <v>13901</v>
      </c>
    </row>
    <row r="54" spans="1:22">
      <c r="A54" s="3" t="s">
        <v>74</v>
      </c>
      <c r="B54" s="3">
        <v>325</v>
      </c>
      <c r="C54" s="12">
        <v>1</v>
      </c>
      <c r="D54" s="4">
        <v>0</v>
      </c>
      <c r="E54" s="4">
        <v>0</v>
      </c>
      <c r="F54" s="4">
        <v>1</v>
      </c>
      <c r="G54" s="4">
        <v>0</v>
      </c>
      <c r="H54" s="4">
        <v>1</v>
      </c>
      <c r="I54" s="4">
        <v>0</v>
      </c>
      <c r="J54" s="4">
        <v>0</v>
      </c>
      <c r="K54" s="4">
        <v>1</v>
      </c>
      <c r="L54" s="4">
        <v>0</v>
      </c>
      <c r="M54" s="4">
        <v>1</v>
      </c>
      <c r="N54" s="4">
        <v>1</v>
      </c>
      <c r="O54" s="4">
        <v>0</v>
      </c>
      <c r="P54" s="4">
        <v>0</v>
      </c>
      <c r="Q54" s="4">
        <v>0</v>
      </c>
      <c r="R54" s="4">
        <v>1</v>
      </c>
      <c r="S54" s="4">
        <v>1</v>
      </c>
      <c r="T54" s="4">
        <v>0</v>
      </c>
      <c r="U54" s="4">
        <v>1</v>
      </c>
      <c r="V54" s="15">
        <v>12901</v>
      </c>
    </row>
    <row r="55" spans="1:22">
      <c r="A55" s="3" t="s">
        <v>75</v>
      </c>
      <c r="B55" s="3">
        <v>875</v>
      </c>
      <c r="C55" s="12">
        <v>1</v>
      </c>
      <c r="D55" s="4">
        <v>0</v>
      </c>
      <c r="E55" s="4">
        <v>1</v>
      </c>
      <c r="F55" s="4">
        <v>0</v>
      </c>
      <c r="G55" s="4">
        <v>1</v>
      </c>
      <c r="H55" s="4">
        <v>1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1</v>
      </c>
      <c r="O55" s="4">
        <v>0</v>
      </c>
      <c r="P55" s="4">
        <v>0</v>
      </c>
      <c r="Q55" s="4">
        <v>0</v>
      </c>
      <c r="R55" s="4">
        <v>1</v>
      </c>
      <c r="S55" s="4">
        <v>1</v>
      </c>
      <c r="T55" s="4">
        <v>0</v>
      </c>
      <c r="U55" s="4">
        <v>0</v>
      </c>
      <c r="V55" s="15">
        <v>16401</v>
      </c>
    </row>
    <row r="56" spans="1:22">
      <c r="A56" s="3" t="s">
        <v>76</v>
      </c>
      <c r="B56" s="3">
        <v>925</v>
      </c>
      <c r="C56" s="12">
        <v>0</v>
      </c>
      <c r="D56" s="4">
        <v>1</v>
      </c>
      <c r="E56" s="4">
        <v>1</v>
      </c>
      <c r="F56" s="4">
        <v>1</v>
      </c>
      <c r="G56" s="4">
        <v>0</v>
      </c>
      <c r="H56" s="4">
        <v>1</v>
      </c>
      <c r="I56" s="4">
        <v>1</v>
      </c>
      <c r="J56" s="4">
        <v>0</v>
      </c>
      <c r="K56" s="4">
        <v>0</v>
      </c>
      <c r="L56" s="4">
        <v>0</v>
      </c>
      <c r="M56" s="4">
        <v>1</v>
      </c>
      <c r="N56" s="4">
        <v>1</v>
      </c>
      <c r="O56" s="4">
        <v>0</v>
      </c>
      <c r="P56" s="4">
        <v>0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15">
        <v>13901</v>
      </c>
    </row>
    <row r="57" spans="1:22">
      <c r="A57" s="3" t="s">
        <v>77</v>
      </c>
      <c r="B57" s="3">
        <v>825</v>
      </c>
      <c r="C57" s="12">
        <v>1</v>
      </c>
      <c r="D57" s="4">
        <v>0</v>
      </c>
      <c r="E57" s="4">
        <v>0</v>
      </c>
      <c r="F57" s="4">
        <v>0</v>
      </c>
      <c r="G57" s="4">
        <v>1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1</v>
      </c>
      <c r="N57" s="4">
        <v>0</v>
      </c>
      <c r="O57" s="4">
        <v>1</v>
      </c>
      <c r="P57" s="4">
        <v>0</v>
      </c>
      <c r="Q57" s="4">
        <v>1</v>
      </c>
      <c r="R57" s="4">
        <v>1</v>
      </c>
      <c r="S57" s="4">
        <v>1</v>
      </c>
      <c r="T57" s="4">
        <v>0</v>
      </c>
      <c r="U57" s="4">
        <v>1</v>
      </c>
      <c r="V57" s="15">
        <v>12401</v>
      </c>
    </row>
    <row r="58" spans="1:22">
      <c r="A58" s="3" t="s">
        <v>78</v>
      </c>
      <c r="B58" s="3">
        <v>725</v>
      </c>
      <c r="C58" s="12">
        <v>1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1</v>
      </c>
      <c r="N58" s="4">
        <v>0</v>
      </c>
      <c r="O58" s="4">
        <v>1</v>
      </c>
      <c r="P58" s="4">
        <v>1</v>
      </c>
      <c r="Q58" s="4">
        <v>0</v>
      </c>
      <c r="R58" s="4">
        <v>0</v>
      </c>
      <c r="S58" s="4">
        <v>1</v>
      </c>
      <c r="T58" s="4">
        <v>1</v>
      </c>
      <c r="U58" s="4">
        <v>1</v>
      </c>
      <c r="V58" s="15">
        <v>11401</v>
      </c>
    </row>
    <row r="59" spans="1:22">
      <c r="A59" s="3" t="s">
        <v>79</v>
      </c>
      <c r="B59" s="3">
        <v>675</v>
      </c>
      <c r="C59" s="12">
        <v>1</v>
      </c>
      <c r="D59" s="4">
        <v>0</v>
      </c>
      <c r="E59" s="4">
        <v>0</v>
      </c>
      <c r="F59" s="4">
        <v>1</v>
      </c>
      <c r="G59" s="4">
        <v>1</v>
      </c>
      <c r="H59" s="4">
        <v>1</v>
      </c>
      <c r="I59" s="4">
        <v>1</v>
      </c>
      <c r="J59" s="4">
        <v>0</v>
      </c>
      <c r="K59" s="4">
        <v>1</v>
      </c>
      <c r="L59" s="4">
        <v>0</v>
      </c>
      <c r="M59" s="4">
        <v>0</v>
      </c>
      <c r="N59" s="4">
        <v>0</v>
      </c>
      <c r="O59" s="4">
        <v>1</v>
      </c>
      <c r="P59" s="4">
        <v>1</v>
      </c>
      <c r="Q59" s="4">
        <v>0</v>
      </c>
      <c r="R59" s="4">
        <v>0</v>
      </c>
      <c r="S59" s="4">
        <v>1</v>
      </c>
      <c r="T59" s="4">
        <v>0</v>
      </c>
      <c r="U59" s="4">
        <v>0</v>
      </c>
      <c r="V59" s="15">
        <v>14401</v>
      </c>
    </row>
    <row r="60" spans="1:22">
      <c r="A60" s="3" t="s">
        <v>80</v>
      </c>
      <c r="B60" s="3">
        <v>275</v>
      </c>
      <c r="C60" s="12">
        <v>1</v>
      </c>
      <c r="D60" s="4">
        <v>1</v>
      </c>
      <c r="E60" s="4">
        <v>0</v>
      </c>
      <c r="F60" s="4">
        <v>1</v>
      </c>
      <c r="G60" s="4">
        <v>0</v>
      </c>
      <c r="H60" s="4">
        <v>1</v>
      </c>
      <c r="I60" s="4">
        <v>1</v>
      </c>
      <c r="J60" s="4">
        <v>0</v>
      </c>
      <c r="K60" s="4">
        <v>1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1</v>
      </c>
      <c r="T60" s="4">
        <v>1</v>
      </c>
      <c r="U60" s="4">
        <v>0</v>
      </c>
      <c r="V60" s="15">
        <v>14401</v>
      </c>
    </row>
    <row r="61" spans="1:22">
      <c r="A61" s="3" t="s">
        <v>81</v>
      </c>
      <c r="B61" s="3">
        <v>-775</v>
      </c>
      <c r="C61" s="12">
        <v>1</v>
      </c>
      <c r="D61" s="4">
        <v>0</v>
      </c>
      <c r="E61" s="4">
        <v>0</v>
      </c>
      <c r="F61" s="4">
        <v>1</v>
      </c>
      <c r="G61" s="4">
        <v>0</v>
      </c>
      <c r="H61" s="4">
        <v>1</v>
      </c>
      <c r="I61" s="4">
        <v>1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1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15">
        <v>10401</v>
      </c>
    </row>
    <row r="62" spans="1:22">
      <c r="A62" s="3" t="s">
        <v>82</v>
      </c>
      <c r="B62" s="3">
        <v>825</v>
      </c>
      <c r="C62" s="12">
        <v>1</v>
      </c>
      <c r="D62" s="4">
        <v>1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1</v>
      </c>
      <c r="L62" s="4">
        <v>0</v>
      </c>
      <c r="M62" s="4">
        <v>1</v>
      </c>
      <c r="N62" s="4">
        <v>1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1</v>
      </c>
      <c r="V62" s="15">
        <v>10401</v>
      </c>
    </row>
    <row r="63" spans="1:22">
      <c r="A63" s="3" t="s">
        <v>83</v>
      </c>
      <c r="B63" s="3">
        <v>850</v>
      </c>
      <c r="C63" s="12">
        <v>1</v>
      </c>
      <c r="D63" s="4">
        <v>0</v>
      </c>
      <c r="E63" s="4">
        <v>0</v>
      </c>
      <c r="F63" s="4">
        <v>0</v>
      </c>
      <c r="G63" s="4">
        <v>1</v>
      </c>
      <c r="H63" s="4">
        <v>1</v>
      </c>
      <c r="I63" s="4">
        <v>1</v>
      </c>
      <c r="J63" s="4">
        <v>0</v>
      </c>
      <c r="K63" s="4">
        <v>1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1</v>
      </c>
      <c r="R63" s="4">
        <v>1</v>
      </c>
      <c r="S63" s="4">
        <v>1</v>
      </c>
      <c r="T63" s="4">
        <v>0</v>
      </c>
      <c r="U63" s="4">
        <v>0</v>
      </c>
      <c r="V63" s="15">
        <v>13401</v>
      </c>
    </row>
    <row r="64" spans="1:22">
      <c r="A64" s="3" t="s">
        <v>84</v>
      </c>
      <c r="B64" s="3">
        <v>-475</v>
      </c>
      <c r="C64" s="12">
        <v>1</v>
      </c>
      <c r="D64" s="4">
        <v>0</v>
      </c>
      <c r="E64" s="4">
        <v>0</v>
      </c>
      <c r="F64" s="4">
        <v>0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4">
        <v>0</v>
      </c>
      <c r="M64" s="4">
        <v>1</v>
      </c>
      <c r="N64" s="4">
        <v>1</v>
      </c>
      <c r="O64" s="4">
        <v>1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15">
        <v>13901</v>
      </c>
    </row>
    <row r="65" spans="1:22">
      <c r="A65" s="3" t="s">
        <v>85</v>
      </c>
      <c r="B65" s="3">
        <v>375</v>
      </c>
      <c r="C65" s="12">
        <v>1</v>
      </c>
      <c r="D65" s="4">
        <v>1</v>
      </c>
      <c r="E65" s="4">
        <v>0</v>
      </c>
      <c r="F65" s="4">
        <v>1</v>
      </c>
      <c r="G65" s="4">
        <v>0</v>
      </c>
      <c r="H65" s="4">
        <v>1</v>
      </c>
      <c r="I65" s="4">
        <v>0</v>
      </c>
      <c r="J65" s="4">
        <v>0</v>
      </c>
      <c r="K65" s="4">
        <v>1</v>
      </c>
      <c r="L65" s="4">
        <v>0</v>
      </c>
      <c r="M65" s="4">
        <v>1</v>
      </c>
      <c r="N65" s="4">
        <v>0</v>
      </c>
      <c r="O65" s="4">
        <v>0</v>
      </c>
      <c r="P65" s="4">
        <v>0</v>
      </c>
      <c r="Q65" s="4">
        <v>1</v>
      </c>
      <c r="R65" s="4">
        <v>1</v>
      </c>
      <c r="S65" s="4">
        <v>0</v>
      </c>
      <c r="T65" s="4">
        <v>0</v>
      </c>
      <c r="U65" s="4">
        <v>1</v>
      </c>
      <c r="V65" s="15">
        <v>11401</v>
      </c>
    </row>
    <row r="66" spans="1:22">
      <c r="A66" s="3" t="s">
        <v>86</v>
      </c>
      <c r="B66" s="3">
        <v>875</v>
      </c>
      <c r="C66" s="12">
        <v>1</v>
      </c>
      <c r="D66" s="4">
        <v>1</v>
      </c>
      <c r="E66" s="4">
        <v>0</v>
      </c>
      <c r="F66" s="4">
        <v>1</v>
      </c>
      <c r="G66" s="4">
        <v>1</v>
      </c>
      <c r="H66" s="4">
        <v>1</v>
      </c>
      <c r="I66" s="4">
        <v>0</v>
      </c>
      <c r="J66" s="4">
        <v>0</v>
      </c>
      <c r="K66" s="4">
        <v>1</v>
      </c>
      <c r="L66" s="4">
        <v>0</v>
      </c>
      <c r="M66" s="4">
        <v>1</v>
      </c>
      <c r="N66" s="4">
        <v>0</v>
      </c>
      <c r="O66" s="4">
        <v>1</v>
      </c>
      <c r="P66" s="4">
        <v>1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15">
        <v>14901</v>
      </c>
    </row>
    <row r="67" spans="1:22">
      <c r="A67" s="3" t="s">
        <v>87</v>
      </c>
      <c r="B67" s="3">
        <v>2775</v>
      </c>
      <c r="C67" s="12">
        <v>1</v>
      </c>
      <c r="D67" s="4">
        <v>0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0</v>
      </c>
      <c r="K67" s="4">
        <v>0</v>
      </c>
      <c r="L67" s="4">
        <v>0</v>
      </c>
      <c r="M67" s="4">
        <v>1</v>
      </c>
      <c r="N67" s="4">
        <v>1</v>
      </c>
      <c r="O67" s="4">
        <v>0</v>
      </c>
      <c r="P67" s="4">
        <v>1</v>
      </c>
      <c r="Q67" s="4">
        <v>0</v>
      </c>
      <c r="R67" s="4">
        <v>0</v>
      </c>
      <c r="S67" s="4">
        <v>1</v>
      </c>
      <c r="T67" s="4">
        <v>0</v>
      </c>
      <c r="U67" s="4">
        <v>0</v>
      </c>
      <c r="V67" s="15">
        <v>17401</v>
      </c>
    </row>
    <row r="68" spans="1:22">
      <c r="A68" s="3" t="s">
        <v>88</v>
      </c>
      <c r="B68" s="3">
        <v>775</v>
      </c>
      <c r="C68" s="12">
        <v>1</v>
      </c>
      <c r="D68" s="4">
        <v>0</v>
      </c>
      <c r="E68" s="4">
        <v>0</v>
      </c>
      <c r="F68" s="4">
        <v>1</v>
      </c>
      <c r="G68" s="4">
        <v>0</v>
      </c>
      <c r="H68" s="4">
        <v>1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>
        <v>1</v>
      </c>
      <c r="R68" s="4">
        <v>0</v>
      </c>
      <c r="S68" s="4">
        <v>1</v>
      </c>
      <c r="T68" s="4">
        <v>1</v>
      </c>
      <c r="U68" s="4">
        <v>1</v>
      </c>
      <c r="V68" s="15">
        <v>11401</v>
      </c>
    </row>
    <row r="69" spans="1:22">
      <c r="A69" s="3" t="s">
        <v>89</v>
      </c>
      <c r="B69" s="3">
        <v>1150</v>
      </c>
      <c r="C69" s="12">
        <v>1</v>
      </c>
      <c r="D69" s="4">
        <v>1</v>
      </c>
      <c r="E69" s="4">
        <v>1</v>
      </c>
      <c r="F69" s="4">
        <v>0</v>
      </c>
      <c r="G69" s="4">
        <v>0</v>
      </c>
      <c r="H69" s="4">
        <v>1</v>
      </c>
      <c r="I69" s="4">
        <v>1</v>
      </c>
      <c r="J69" s="4">
        <v>0</v>
      </c>
      <c r="K69" s="4">
        <v>0</v>
      </c>
      <c r="L69" s="4">
        <v>0</v>
      </c>
      <c r="M69" s="4">
        <v>1</v>
      </c>
      <c r="N69" s="4">
        <v>1</v>
      </c>
      <c r="O69" s="4">
        <v>0</v>
      </c>
      <c r="P69" s="4">
        <v>1</v>
      </c>
      <c r="Q69" s="4">
        <v>1</v>
      </c>
      <c r="R69" s="4">
        <v>1</v>
      </c>
      <c r="S69" s="4">
        <v>0</v>
      </c>
      <c r="T69" s="4">
        <v>0</v>
      </c>
      <c r="U69" s="4">
        <v>0</v>
      </c>
      <c r="V69" s="15">
        <v>14401</v>
      </c>
    </row>
    <row r="70" spans="1:22">
      <c r="A70" s="3" t="s">
        <v>90</v>
      </c>
      <c r="B70" s="3">
        <v>1100</v>
      </c>
      <c r="C70" s="12">
        <v>1</v>
      </c>
      <c r="D70" s="4">
        <v>0</v>
      </c>
      <c r="E70" s="4">
        <v>1</v>
      </c>
      <c r="F70" s="4">
        <v>1</v>
      </c>
      <c r="G70" s="4">
        <v>0</v>
      </c>
      <c r="H70" s="4">
        <v>1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1</v>
      </c>
      <c r="O70" s="4">
        <v>1</v>
      </c>
      <c r="P70" s="4">
        <v>1</v>
      </c>
      <c r="Q70" s="4">
        <v>0</v>
      </c>
      <c r="R70" s="4">
        <v>1</v>
      </c>
      <c r="S70" s="4">
        <v>0</v>
      </c>
      <c r="T70" s="4">
        <v>1</v>
      </c>
      <c r="U70" s="4">
        <v>0</v>
      </c>
      <c r="V70" s="15">
        <v>15901</v>
      </c>
    </row>
    <row r="71" spans="1:22">
      <c r="A71" s="3" t="s">
        <v>91</v>
      </c>
      <c r="B71" s="3">
        <v>975</v>
      </c>
      <c r="C71" s="12">
        <v>1</v>
      </c>
      <c r="D71" s="4">
        <v>0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  <c r="J71" s="4">
        <v>0</v>
      </c>
      <c r="K71" s="4">
        <v>1</v>
      </c>
      <c r="L71" s="4">
        <v>0</v>
      </c>
      <c r="M71" s="4">
        <v>1</v>
      </c>
      <c r="N71" s="4">
        <v>0</v>
      </c>
      <c r="O71" s="4">
        <v>0</v>
      </c>
      <c r="P71" s="4">
        <v>1</v>
      </c>
      <c r="Q71" s="4">
        <v>0</v>
      </c>
      <c r="R71" s="4">
        <v>1</v>
      </c>
      <c r="S71" s="4">
        <v>0</v>
      </c>
      <c r="T71" s="4">
        <v>0</v>
      </c>
      <c r="U71" s="4">
        <v>0</v>
      </c>
      <c r="V71" s="15">
        <v>13901</v>
      </c>
    </row>
    <row r="72" spans="1:22">
      <c r="A72" s="3" t="s">
        <v>92</v>
      </c>
      <c r="B72" s="3">
        <v>700</v>
      </c>
      <c r="C72" s="12">
        <v>1</v>
      </c>
      <c r="D72" s="4">
        <v>0</v>
      </c>
      <c r="E72" s="4">
        <v>0</v>
      </c>
      <c r="F72" s="4">
        <v>0</v>
      </c>
      <c r="G72" s="4">
        <v>1</v>
      </c>
      <c r="H72" s="4">
        <v>1</v>
      </c>
      <c r="I72" s="4">
        <v>0</v>
      </c>
      <c r="J72" s="4">
        <v>0</v>
      </c>
      <c r="K72" s="4">
        <v>1</v>
      </c>
      <c r="L72" s="4">
        <v>0</v>
      </c>
      <c r="M72" s="4">
        <v>0</v>
      </c>
      <c r="N72" s="4">
        <v>0</v>
      </c>
      <c r="O72" s="4">
        <v>1</v>
      </c>
      <c r="P72" s="4">
        <v>1</v>
      </c>
      <c r="Q72" s="4">
        <v>0</v>
      </c>
      <c r="R72" s="4">
        <v>0</v>
      </c>
      <c r="S72" s="4">
        <v>1</v>
      </c>
      <c r="T72" s="4">
        <v>1</v>
      </c>
      <c r="U72" s="4">
        <v>0</v>
      </c>
      <c r="V72" s="15">
        <v>13901</v>
      </c>
    </row>
    <row r="73" spans="1:22">
      <c r="A73" s="3" t="s">
        <v>93</v>
      </c>
      <c r="B73" s="3">
        <v>1450</v>
      </c>
      <c r="C73" s="12">
        <v>1</v>
      </c>
      <c r="D73" s="4">
        <v>1</v>
      </c>
      <c r="E73" s="4">
        <v>1</v>
      </c>
      <c r="F73" s="4">
        <v>1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1</v>
      </c>
      <c r="P73" s="4">
        <v>1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15">
        <v>14901</v>
      </c>
    </row>
    <row r="74" spans="1:22">
      <c r="A74" s="3" t="s">
        <v>94</v>
      </c>
      <c r="B74" s="3">
        <v>1600</v>
      </c>
      <c r="C74" s="12">
        <v>1</v>
      </c>
      <c r="D74" s="4">
        <v>0</v>
      </c>
      <c r="E74" s="4">
        <v>1</v>
      </c>
      <c r="F74" s="4">
        <v>0</v>
      </c>
      <c r="G74" s="4">
        <v>0</v>
      </c>
      <c r="H74" s="4">
        <v>1</v>
      </c>
      <c r="I74" s="4">
        <v>1</v>
      </c>
      <c r="J74" s="4">
        <v>0</v>
      </c>
      <c r="K74" s="4">
        <v>0</v>
      </c>
      <c r="L74" s="4">
        <v>0</v>
      </c>
      <c r="M74" s="4">
        <v>1</v>
      </c>
      <c r="N74" s="4">
        <v>1</v>
      </c>
      <c r="O74" s="4">
        <v>0</v>
      </c>
      <c r="P74" s="4">
        <v>0</v>
      </c>
      <c r="Q74" s="4">
        <v>1</v>
      </c>
      <c r="R74" s="4">
        <v>1</v>
      </c>
      <c r="S74" s="4">
        <v>0</v>
      </c>
      <c r="T74" s="4">
        <v>1</v>
      </c>
      <c r="U74" s="4">
        <v>0</v>
      </c>
      <c r="V74" s="15">
        <v>12901</v>
      </c>
    </row>
    <row r="75" spans="1:22">
      <c r="A75" s="3" t="s">
        <v>95</v>
      </c>
      <c r="B75" s="3">
        <v>850</v>
      </c>
      <c r="C75" s="12">
        <v>1</v>
      </c>
      <c r="D75" s="4">
        <v>0</v>
      </c>
      <c r="E75" s="4">
        <v>0</v>
      </c>
      <c r="F75" s="4">
        <v>1</v>
      </c>
      <c r="G75" s="4">
        <v>1</v>
      </c>
      <c r="H75" s="4">
        <v>1</v>
      </c>
      <c r="I75" s="4">
        <v>1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1</v>
      </c>
      <c r="S75" s="4">
        <v>0</v>
      </c>
      <c r="T75" s="4">
        <v>0</v>
      </c>
      <c r="U75" s="4">
        <v>0</v>
      </c>
      <c r="V75" s="15">
        <v>12901</v>
      </c>
    </row>
    <row r="76" ht="14.25" spans="1:22">
      <c r="A76" s="3" t="s">
        <v>96</v>
      </c>
      <c r="B76" s="3">
        <v>700</v>
      </c>
      <c r="C76" s="13">
        <v>1</v>
      </c>
      <c r="D76" s="13">
        <v>1</v>
      </c>
      <c r="E76" s="13">
        <v>0</v>
      </c>
      <c r="F76" s="13">
        <v>1</v>
      </c>
      <c r="G76" s="13">
        <v>1</v>
      </c>
      <c r="H76" s="13">
        <v>1</v>
      </c>
      <c r="I76" s="13">
        <v>0</v>
      </c>
      <c r="J76" s="13">
        <v>0</v>
      </c>
      <c r="K76" s="13">
        <v>1</v>
      </c>
      <c r="L76" s="13">
        <v>0</v>
      </c>
      <c r="M76" s="13">
        <v>1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1</v>
      </c>
      <c r="V76" s="16">
        <v>13901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80" zoomScaleNormal="180" workbookViewId="0">
      <selection activeCell="D19" sqref="D19"/>
    </sheetView>
  </sheetViews>
  <sheetFormatPr defaultColWidth="9" defaultRowHeight="13.5" outlineLevelCol="5"/>
  <cols>
    <col min="1" max="1" width="9.375" style="2"/>
    <col min="2" max="2" width="13.75" style="2"/>
    <col min="3" max="3" width="9" style="2"/>
    <col min="4" max="4" width="11.5" style="2"/>
    <col min="5" max="16384" width="9" style="2"/>
  </cols>
  <sheetData>
    <row r="1" spans="1:5">
      <c r="A1" s="2" t="s">
        <v>97</v>
      </c>
      <c r="C1" s="2" t="s">
        <v>98</v>
      </c>
      <c r="E1" s="2" t="s">
        <v>99</v>
      </c>
    </row>
    <row r="2" ht="15.75" spans="1:6">
      <c r="A2" s="5" t="s">
        <v>100</v>
      </c>
      <c r="B2" s="5">
        <v>855.567438</v>
      </c>
      <c r="C2" s="5" t="s">
        <v>100</v>
      </c>
      <c r="D2" s="5">
        <v>3453.642045</v>
      </c>
      <c r="E2" s="5" t="s">
        <v>100</v>
      </c>
      <c r="F2" s="5">
        <v>2879.880098</v>
      </c>
    </row>
    <row r="3" ht="15.75" spans="1:6">
      <c r="A3" s="6" t="s">
        <v>3</v>
      </c>
      <c r="B3" s="5">
        <v>-109.689344</v>
      </c>
      <c r="C3" s="6" t="s">
        <v>20</v>
      </c>
      <c r="D3" s="5">
        <v>-617.121144</v>
      </c>
      <c r="E3" s="6" t="s">
        <v>20</v>
      </c>
      <c r="F3" s="5">
        <v>-251.01554</v>
      </c>
    </row>
    <row r="4" ht="15.75" spans="1:6">
      <c r="A4" s="6" t="s">
        <v>4</v>
      </c>
      <c r="B4" s="5">
        <v>224.965079</v>
      </c>
      <c r="C4" s="6" t="s">
        <v>7</v>
      </c>
      <c r="D4" s="5">
        <v>-1274.580593</v>
      </c>
      <c r="E4" s="6" t="s">
        <v>7</v>
      </c>
      <c r="F4" s="5">
        <v>-1226.788907</v>
      </c>
    </row>
    <row r="5" ht="15.75" spans="1:6">
      <c r="A5" s="6" t="s">
        <v>8</v>
      </c>
      <c r="B5" s="5">
        <v>-103.366077</v>
      </c>
      <c r="C5" s="6" t="s">
        <v>10</v>
      </c>
      <c r="D5" s="5">
        <v>-736.085032</v>
      </c>
      <c r="E5" s="6" t="s">
        <v>10</v>
      </c>
      <c r="F5" s="5">
        <v>-484.753567</v>
      </c>
    </row>
    <row r="6" ht="15.75" spans="1:6">
      <c r="A6" s="6" t="s">
        <v>10</v>
      </c>
      <c r="B6" s="5">
        <v>-268.922286</v>
      </c>
      <c r="C6" s="6" t="s">
        <v>3</v>
      </c>
      <c r="D6" s="5">
        <v>-181.503655</v>
      </c>
      <c r="E6" s="6" t="s">
        <v>3</v>
      </c>
      <c r="F6" s="5">
        <v>-537.51147</v>
      </c>
    </row>
    <row r="7" ht="15.75" spans="1:6">
      <c r="A7" s="6" t="s">
        <v>13</v>
      </c>
      <c r="B7" s="5">
        <v>-436.231242</v>
      </c>
      <c r="C7" s="6" t="s">
        <v>13</v>
      </c>
      <c r="D7" s="5">
        <v>-571.754394</v>
      </c>
      <c r="E7" s="6" t="s">
        <v>13</v>
      </c>
      <c r="F7" s="5">
        <v>-624.794681</v>
      </c>
    </row>
    <row r="8" ht="15.75" spans="1:6">
      <c r="A8" s="6" t="s">
        <v>14</v>
      </c>
      <c r="B8" s="5">
        <v>-270.558115</v>
      </c>
      <c r="C8" s="6" t="s">
        <v>14</v>
      </c>
      <c r="D8" s="5">
        <v>-622.508958</v>
      </c>
      <c r="E8" s="6" t="s">
        <v>14</v>
      </c>
      <c r="F8" s="5">
        <v>-278.707121</v>
      </c>
    </row>
    <row r="9" ht="15.75" spans="1:6">
      <c r="A9" s="6" t="s">
        <v>16</v>
      </c>
      <c r="B9" s="5">
        <v>-111.426991</v>
      </c>
      <c r="C9" s="6" t="s">
        <v>19</v>
      </c>
      <c r="D9" s="5">
        <v>69.233245</v>
      </c>
      <c r="E9" s="6" t="s">
        <v>19</v>
      </c>
      <c r="F9" s="5">
        <v>312.502084</v>
      </c>
    </row>
    <row r="10" ht="15.75" spans="1:6">
      <c r="A10" s="6" t="s">
        <v>20</v>
      </c>
      <c r="B10" s="5">
        <v>271.433532</v>
      </c>
      <c r="C10" s="7"/>
      <c r="D10" s="7"/>
      <c r="E10" s="7"/>
      <c r="F10" s="7"/>
    </row>
    <row r="11" ht="15.75" spans="1:6">
      <c r="A11" s="6" t="s">
        <v>101</v>
      </c>
      <c r="B11" s="5">
        <v>-621.966916</v>
      </c>
      <c r="C11" s="6" t="s">
        <v>102</v>
      </c>
      <c r="D11" s="5">
        <f>D2+0.5*SUM(D3:D9)</f>
        <v>1486.4817795</v>
      </c>
      <c r="E11" s="6" t="s">
        <v>102</v>
      </c>
      <c r="F11" s="5">
        <f>F2+0.5*SUM(F3:F9)</f>
        <v>1334.345497</v>
      </c>
    </row>
    <row r="12" ht="15.75" spans="1:2">
      <c r="A12" s="6" t="s">
        <v>103</v>
      </c>
      <c r="B12" s="5">
        <v>-105.307749</v>
      </c>
    </row>
    <row r="13" ht="15.75" spans="1:2">
      <c r="A13" s="6" t="s">
        <v>104</v>
      </c>
      <c r="B13" s="5">
        <v>133.53886</v>
      </c>
    </row>
    <row r="14" ht="15.75" spans="1:2">
      <c r="A14" s="6" t="s">
        <v>105</v>
      </c>
      <c r="B14" s="5">
        <v>-115.531934</v>
      </c>
    </row>
    <row r="15" ht="15.75" spans="1:2">
      <c r="A15" s="7"/>
      <c r="B15" s="7"/>
    </row>
    <row r="16" spans="1:2">
      <c r="A16" s="2" t="s">
        <v>102</v>
      </c>
      <c r="B16" s="2">
        <f>B2+SUM(B11:B14)*(B20-B21)</f>
        <v>897.289069839392</v>
      </c>
    </row>
    <row r="17" spans="1:2">
      <c r="A17" s="2" t="s">
        <v>106</v>
      </c>
      <c r="B17" s="2">
        <v>0.2352941176</v>
      </c>
    </row>
    <row r="18" spans="1:2">
      <c r="A18" s="2" t="s">
        <v>107</v>
      </c>
      <c r="B18" s="2">
        <v>0.5</v>
      </c>
    </row>
    <row r="19" spans="1:2">
      <c r="A19" s="2" t="s">
        <v>108</v>
      </c>
      <c r="B19" s="2">
        <f>1+B17-2*B18</f>
        <v>0.2352941176</v>
      </c>
    </row>
    <row r="20" spans="1:2">
      <c r="A20" s="2" t="s">
        <v>109</v>
      </c>
      <c r="B20" s="2">
        <f>B19+B17</f>
        <v>0.4705882352</v>
      </c>
    </row>
    <row r="21" spans="1:2">
      <c r="A21" s="2" t="s">
        <v>110</v>
      </c>
      <c r="B21" s="2">
        <f>1-B20</f>
        <v>0.5294117648</v>
      </c>
    </row>
  </sheetData>
  <mergeCells count="3">
    <mergeCell ref="A1:B1"/>
    <mergeCell ref="C1:D1"/>
    <mergeCell ref="E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zoomScale="115" zoomScaleNormal="115" workbookViewId="0">
      <selection activeCell="V76" sqref="V76"/>
    </sheetView>
  </sheetViews>
  <sheetFormatPr defaultColWidth="9" defaultRowHeight="13.5"/>
  <cols>
    <col min="1" max="2" width="9" style="1"/>
    <col min="3" max="3" width="11.7333333333333" style="1" customWidth="1"/>
    <col min="4" max="4" width="9" style="1"/>
    <col min="5" max="5" width="12.625" style="1"/>
    <col min="6" max="6" width="9" style="1"/>
    <col min="7" max="9" width="13.75" style="1"/>
    <col min="10" max="11" width="9" style="1"/>
    <col min="12" max="14" width="12.625" style="1"/>
    <col min="15" max="16384" width="9" style="1"/>
  </cols>
  <sheetData>
    <row r="1" s="1" customFormat="1" spans="2:14">
      <c r="B1" s="1" t="b">
        <v>1</v>
      </c>
      <c r="C1" s="1" t="s">
        <v>111</v>
      </c>
      <c r="D1" s="1" t="s">
        <v>112</v>
      </c>
      <c r="E1" s="1" t="s">
        <v>113</v>
      </c>
      <c r="G1" s="1" t="s">
        <v>111</v>
      </c>
      <c r="H1" s="1" t="s">
        <v>112</v>
      </c>
      <c r="I1" s="1" t="s">
        <v>113</v>
      </c>
      <c r="K1" s="1" t="b">
        <v>1</v>
      </c>
      <c r="L1" s="1" t="s">
        <v>111</v>
      </c>
      <c r="M1" s="1" t="s">
        <v>112</v>
      </c>
      <c r="N1" s="1" t="s">
        <v>113</v>
      </c>
    </row>
    <row r="2" s="1" customFormat="1" spans="2:14">
      <c r="B2" s="1">
        <v>0</v>
      </c>
      <c r="C2" s="1">
        <v>0</v>
      </c>
      <c r="D2" s="1">
        <v>0</v>
      </c>
      <c r="K2" s="1">
        <v>0</v>
      </c>
      <c r="L2" s="1">
        <v>0</v>
      </c>
      <c r="M2" s="1">
        <v>0</v>
      </c>
      <c r="N2" s="1">
        <v>0</v>
      </c>
    </row>
    <row r="3" s="1" customFormat="1" spans="1:14">
      <c r="A3" s="1" t="s">
        <v>22</v>
      </c>
      <c r="B3" s="3">
        <v>1450</v>
      </c>
      <c r="C3" s="4">
        <v>1299.43761113621</v>
      </c>
      <c r="D3" s="4">
        <v>1711.49079311279</v>
      </c>
      <c r="E3" s="1">
        <v>2037.86484105371</v>
      </c>
      <c r="G3" s="1">
        <f>B3-C3</f>
        <v>150.56238886379</v>
      </c>
      <c r="H3" s="1">
        <f>B3-D3</f>
        <v>-261.49079311279</v>
      </c>
      <c r="I3" s="1">
        <f>B3-E3</f>
        <v>-587.86484105371</v>
      </c>
      <c r="K3" s="1">
        <f>K2+B3</f>
        <v>1450</v>
      </c>
      <c r="L3" s="1">
        <f>L2+C3</f>
        <v>1299.43761113621</v>
      </c>
      <c r="M3" s="1">
        <f>M2+D3</f>
        <v>1711.49079311279</v>
      </c>
      <c r="N3" s="1">
        <f>N2+E3</f>
        <v>2037.86484105371</v>
      </c>
    </row>
    <row r="4" s="1" customFormat="1" spans="1:14">
      <c r="A4" s="1" t="s">
        <v>23</v>
      </c>
      <c r="B4" s="3">
        <v>800</v>
      </c>
      <c r="C4" s="4">
        <v>842.800400227204</v>
      </c>
      <c r="D4" s="4">
        <v>877.915503832058</v>
      </c>
      <c r="E4" s="1">
        <v>552.27158454912</v>
      </c>
      <c r="G4" s="1">
        <f t="shared" ref="G4:G35" si="0">B4-C4</f>
        <v>-42.800400227204</v>
      </c>
      <c r="H4" s="1">
        <f t="shared" ref="H4:H35" si="1">B4-D4</f>
        <v>-77.915503832058</v>
      </c>
      <c r="I4" s="1">
        <f t="shared" ref="I4:I35" si="2">B4-E4</f>
        <v>247.72841545088</v>
      </c>
      <c r="K4" s="1">
        <f t="shared" ref="K4:K35" si="3">K3+B4</f>
        <v>2250</v>
      </c>
      <c r="L4" s="1">
        <f t="shared" ref="L4:L35" si="4">L3+C4</f>
        <v>2142.23801136341</v>
      </c>
      <c r="M4" s="1">
        <f t="shared" ref="M4:M35" si="5">M3+D4</f>
        <v>2589.40629694485</v>
      </c>
      <c r="N4" s="1">
        <f t="shared" ref="N4:N35" si="6">N3+E4</f>
        <v>2590.13642560283</v>
      </c>
    </row>
    <row r="5" s="1" customFormat="1" spans="1:14">
      <c r="A5" s="1" t="s">
        <v>24</v>
      </c>
      <c r="B5" s="3">
        <v>1975</v>
      </c>
      <c r="C5" s="4">
        <v>2219.59912678437</v>
      </c>
      <c r="D5" s="4">
        <v>2101.74153271029</v>
      </c>
      <c r="E5" s="1">
        <v>2125.14805126236</v>
      </c>
      <c r="G5" s="1">
        <f t="shared" si="0"/>
        <v>-244.59912678437</v>
      </c>
      <c r="H5" s="1">
        <f t="shared" si="1"/>
        <v>-126.74153271029</v>
      </c>
      <c r="I5" s="1">
        <f t="shared" si="2"/>
        <v>-150.14805126236</v>
      </c>
      <c r="K5" s="1">
        <f t="shared" si="3"/>
        <v>4225</v>
      </c>
      <c r="L5" s="1">
        <f t="shared" si="4"/>
        <v>4361.83713814778</v>
      </c>
      <c r="M5" s="1">
        <f t="shared" si="5"/>
        <v>4691.14782965514</v>
      </c>
      <c r="N5" s="1">
        <f t="shared" si="6"/>
        <v>4715.28447686519</v>
      </c>
    </row>
    <row r="6" s="1" customFormat="1" spans="1:14">
      <c r="A6" s="1" t="s">
        <v>25</v>
      </c>
      <c r="B6" s="3">
        <v>950</v>
      </c>
      <c r="C6" s="4">
        <v>1060.12295064961</v>
      </c>
      <c r="D6" s="4">
        <v>1642.25754853092</v>
      </c>
      <c r="E6" s="1">
        <v>1725.36275693816</v>
      </c>
      <c r="G6" s="1">
        <f t="shared" si="0"/>
        <v>-110.12295064961</v>
      </c>
      <c r="H6" s="1">
        <f t="shared" si="1"/>
        <v>-692.25754853092</v>
      </c>
      <c r="I6" s="1">
        <f t="shared" si="2"/>
        <v>-775.36275693816</v>
      </c>
      <c r="K6" s="1">
        <f t="shared" si="3"/>
        <v>5175</v>
      </c>
      <c r="L6" s="1">
        <f t="shared" si="4"/>
        <v>5421.96008879739</v>
      </c>
      <c r="M6" s="1">
        <f t="shared" si="5"/>
        <v>6333.40537818606</v>
      </c>
      <c r="N6" s="1">
        <f t="shared" si="6"/>
        <v>6440.64723380335</v>
      </c>
    </row>
    <row r="7" s="1" customFormat="1" spans="1:14">
      <c r="A7" s="1" t="s">
        <v>26</v>
      </c>
      <c r="B7" s="3">
        <v>2000</v>
      </c>
      <c r="C7" s="4">
        <v>2211.14469700473</v>
      </c>
      <c r="D7" s="4">
        <v>2100.43586890581</v>
      </c>
      <c r="E7" s="1">
        <v>2144.11099218758</v>
      </c>
      <c r="G7" s="1">
        <f t="shared" si="0"/>
        <v>-211.14469700473</v>
      </c>
      <c r="H7" s="1">
        <f t="shared" si="1"/>
        <v>-100.43586890581</v>
      </c>
      <c r="I7" s="1">
        <f t="shared" si="2"/>
        <v>-144.11099218758</v>
      </c>
      <c r="K7" s="1">
        <f t="shared" si="3"/>
        <v>7175</v>
      </c>
      <c r="L7" s="1">
        <f t="shared" si="4"/>
        <v>7633.10478580212</v>
      </c>
      <c r="M7" s="1">
        <f t="shared" si="5"/>
        <v>8433.84124709187</v>
      </c>
      <c r="N7" s="1">
        <f t="shared" si="6"/>
        <v>8584.75822599093</v>
      </c>
    </row>
    <row r="8" s="1" customFormat="1" spans="1:14">
      <c r="A8" s="1" t="s">
        <v>27</v>
      </c>
      <c r="B8" s="3">
        <v>1000</v>
      </c>
      <c r="C8" s="4">
        <v>1062.17908900537</v>
      </c>
      <c r="D8" s="4">
        <v>1059.41915846965</v>
      </c>
      <c r="E8" s="1">
        <v>1089.78305497675</v>
      </c>
      <c r="G8" s="1">
        <f t="shared" si="0"/>
        <v>-62.1790890053701</v>
      </c>
      <c r="H8" s="1">
        <f t="shared" si="1"/>
        <v>-59.41915846965</v>
      </c>
      <c r="I8" s="1">
        <f t="shared" si="2"/>
        <v>-89.7830549767496</v>
      </c>
      <c r="K8" s="1">
        <f t="shared" si="3"/>
        <v>8175</v>
      </c>
      <c r="L8" s="1">
        <f t="shared" si="4"/>
        <v>8695.2838748075</v>
      </c>
      <c r="M8" s="1">
        <f t="shared" si="5"/>
        <v>9493.26040556152</v>
      </c>
      <c r="N8" s="1">
        <f t="shared" si="6"/>
        <v>9674.54128096768</v>
      </c>
    </row>
    <row r="9" s="1" customFormat="1" spans="1:14">
      <c r="A9" s="1" t="s">
        <v>28</v>
      </c>
      <c r="B9" s="3">
        <v>1025</v>
      </c>
      <c r="C9" s="4">
        <v>859.26107854107</v>
      </c>
      <c r="D9" s="4">
        <v>808.682259250189</v>
      </c>
      <c r="E9" s="1">
        <v>239.76950043358</v>
      </c>
      <c r="G9" s="1">
        <f t="shared" si="0"/>
        <v>165.73892145893</v>
      </c>
      <c r="H9" s="1">
        <f t="shared" si="1"/>
        <v>216.317740749811</v>
      </c>
      <c r="I9" s="1">
        <f t="shared" si="2"/>
        <v>785.23049956642</v>
      </c>
      <c r="K9" s="1">
        <f t="shared" si="3"/>
        <v>9200</v>
      </c>
      <c r="L9" s="1">
        <f t="shared" si="4"/>
        <v>9554.54495334857</v>
      </c>
      <c r="M9" s="1">
        <f t="shared" si="5"/>
        <v>10301.9426648117</v>
      </c>
      <c r="N9" s="1">
        <f t="shared" si="6"/>
        <v>9914.31078140126</v>
      </c>
    </row>
    <row r="10" s="1" customFormat="1" spans="1:14">
      <c r="A10" s="1" t="s">
        <v>29</v>
      </c>
      <c r="B10" s="3">
        <v>2400</v>
      </c>
      <c r="C10" s="4">
        <v>2640.73083271472</v>
      </c>
      <c r="D10" s="4">
        <v>2100.43586890581</v>
      </c>
      <c r="E10" s="1">
        <v>2144.11099218754</v>
      </c>
      <c r="G10" s="1">
        <f t="shared" si="0"/>
        <v>-240.73083271472</v>
      </c>
      <c r="H10" s="1">
        <f t="shared" si="1"/>
        <v>299.56413109419</v>
      </c>
      <c r="I10" s="1">
        <f t="shared" si="2"/>
        <v>255.88900781246</v>
      </c>
      <c r="K10" s="1">
        <f t="shared" si="3"/>
        <v>11600</v>
      </c>
      <c r="L10" s="1">
        <f t="shared" si="4"/>
        <v>12195.2757860633</v>
      </c>
      <c r="M10" s="1">
        <f t="shared" si="5"/>
        <v>12402.3785337175</v>
      </c>
      <c r="N10" s="1">
        <f t="shared" si="6"/>
        <v>12058.4217735888</v>
      </c>
    </row>
    <row r="11" s="1" customFormat="1" spans="1:14">
      <c r="A11" s="1" t="s">
        <v>30</v>
      </c>
      <c r="B11" s="3">
        <v>1800</v>
      </c>
      <c r="C11" s="4">
        <v>1673.50376115783</v>
      </c>
      <c r="D11" s="4">
        <v>1296.42325621322</v>
      </c>
      <c r="E11" s="1">
        <v>1327.8924006445</v>
      </c>
      <c r="G11" s="1">
        <f t="shared" si="0"/>
        <v>126.49623884217</v>
      </c>
      <c r="H11" s="1">
        <f t="shared" si="1"/>
        <v>503.57674378678</v>
      </c>
      <c r="I11" s="1">
        <f t="shared" si="2"/>
        <v>472.1075993555</v>
      </c>
      <c r="K11" s="1">
        <f t="shared" si="3"/>
        <v>13400</v>
      </c>
      <c r="L11" s="1">
        <f t="shared" si="4"/>
        <v>13868.7795472211</v>
      </c>
      <c r="M11" s="1">
        <f t="shared" si="5"/>
        <v>13698.8017899307</v>
      </c>
      <c r="N11" s="1">
        <f t="shared" si="6"/>
        <v>13386.3141742333</v>
      </c>
    </row>
    <row r="12" s="1" customFormat="1" spans="1:14">
      <c r="A12" s="1" t="s">
        <v>31</v>
      </c>
      <c r="B12" s="3">
        <v>725</v>
      </c>
      <c r="C12" s="4">
        <v>154.621172907596</v>
      </c>
      <c r="D12" s="4">
        <v>21.8426635151099</v>
      </c>
      <c r="E12" s="1">
        <v>101.103493452001</v>
      </c>
      <c r="G12" s="1">
        <f t="shared" si="0"/>
        <v>570.378827092404</v>
      </c>
      <c r="H12" s="1">
        <f t="shared" si="1"/>
        <v>703.15733648489</v>
      </c>
      <c r="I12" s="1">
        <f t="shared" si="2"/>
        <v>623.896506547999</v>
      </c>
      <c r="K12" s="1">
        <f t="shared" si="3"/>
        <v>14125</v>
      </c>
      <c r="L12" s="1">
        <f t="shared" si="4"/>
        <v>14023.4007201287</v>
      </c>
      <c r="M12" s="1">
        <f t="shared" si="5"/>
        <v>13720.6444534458</v>
      </c>
      <c r="N12" s="1">
        <f t="shared" si="6"/>
        <v>13487.4176676853</v>
      </c>
    </row>
    <row r="13" s="1" customFormat="1" spans="1:14">
      <c r="A13" s="1" t="s">
        <v>32</v>
      </c>
      <c r="B13" s="3">
        <v>225</v>
      </c>
      <c r="C13" s="4">
        <v>472.544570297949</v>
      </c>
      <c r="D13" s="4">
        <v>713.584866151964</v>
      </c>
      <c r="E13" s="1">
        <v>692.312698683099</v>
      </c>
      <c r="G13" s="1">
        <f t="shared" si="0"/>
        <v>-247.544570297949</v>
      </c>
      <c r="H13" s="1">
        <f t="shared" si="1"/>
        <v>-488.584866151964</v>
      </c>
      <c r="I13" s="1">
        <f t="shared" si="2"/>
        <v>-467.312698683099</v>
      </c>
      <c r="K13" s="1">
        <f t="shared" si="3"/>
        <v>14350</v>
      </c>
      <c r="L13" s="1">
        <f t="shared" si="4"/>
        <v>14495.9452904267</v>
      </c>
      <c r="M13" s="1">
        <f t="shared" si="5"/>
        <v>14434.2293195978</v>
      </c>
      <c r="N13" s="1">
        <f t="shared" si="6"/>
        <v>14179.7303663684</v>
      </c>
    </row>
    <row r="14" s="1" customFormat="1" spans="1:14">
      <c r="A14" s="1" t="s">
        <v>33</v>
      </c>
      <c r="B14" s="3">
        <v>900</v>
      </c>
      <c r="C14" s="4">
        <v>760.377520250509</v>
      </c>
      <c r="D14" s="4">
        <v>436.910200414673</v>
      </c>
      <c r="E14" s="1">
        <v>811.075933861201</v>
      </c>
      <c r="G14" s="1">
        <f t="shared" si="0"/>
        <v>139.622479749491</v>
      </c>
      <c r="H14" s="1">
        <f t="shared" si="1"/>
        <v>463.089799585327</v>
      </c>
      <c r="I14" s="1">
        <f t="shared" si="2"/>
        <v>88.9240661387994</v>
      </c>
      <c r="K14" s="1">
        <f t="shared" si="3"/>
        <v>15250</v>
      </c>
      <c r="L14" s="1">
        <f t="shared" si="4"/>
        <v>15256.3228106772</v>
      </c>
      <c r="M14" s="1">
        <f t="shared" si="5"/>
        <v>14871.1395200125</v>
      </c>
      <c r="N14" s="1">
        <f t="shared" si="6"/>
        <v>14990.8063002296</v>
      </c>
    </row>
    <row r="15" s="1" customFormat="1" spans="1:14">
      <c r="A15" s="1" t="s">
        <v>34</v>
      </c>
      <c r="B15" s="3">
        <v>625</v>
      </c>
      <c r="C15" s="4">
        <v>675.801430440634</v>
      </c>
      <c r="D15" s="4">
        <v>825.855276207694</v>
      </c>
      <c r="E15" s="1">
        <v>917.322084995199</v>
      </c>
      <c r="G15" s="1">
        <f t="shared" si="0"/>
        <v>-50.801430440634</v>
      </c>
      <c r="H15" s="1">
        <f t="shared" si="1"/>
        <v>-200.855276207694</v>
      </c>
      <c r="I15" s="1">
        <f t="shared" si="2"/>
        <v>-292.322084995199</v>
      </c>
      <c r="K15" s="1">
        <f t="shared" si="3"/>
        <v>15875</v>
      </c>
      <c r="L15" s="1">
        <f t="shared" si="4"/>
        <v>15932.1242411178</v>
      </c>
      <c r="M15" s="1">
        <f t="shared" si="5"/>
        <v>15696.9947962202</v>
      </c>
      <c r="N15" s="1">
        <f t="shared" si="6"/>
        <v>15908.1283852248</v>
      </c>
    </row>
    <row r="16" s="1" customFormat="1" spans="1:14">
      <c r="A16" s="1" t="s">
        <v>35</v>
      </c>
      <c r="B16" s="3">
        <v>875</v>
      </c>
      <c r="C16" s="4">
        <v>1063.93709372255</v>
      </c>
      <c r="D16" s="4">
        <v>1460.75389389332</v>
      </c>
      <c r="E16" s="1">
        <v>1187.8512865105</v>
      </c>
      <c r="G16" s="1">
        <f t="shared" si="0"/>
        <v>-188.93709372255</v>
      </c>
      <c r="H16" s="1">
        <f t="shared" si="1"/>
        <v>-585.75389389332</v>
      </c>
      <c r="I16" s="1">
        <f t="shared" si="2"/>
        <v>-312.851286510499</v>
      </c>
      <c r="K16" s="1">
        <f t="shared" si="3"/>
        <v>16750</v>
      </c>
      <c r="L16" s="1">
        <f t="shared" si="4"/>
        <v>16996.0613348404</v>
      </c>
      <c r="M16" s="1">
        <f t="shared" si="5"/>
        <v>17157.7486901135</v>
      </c>
      <c r="N16" s="1">
        <f t="shared" si="6"/>
        <v>17095.9796717353</v>
      </c>
    </row>
    <row r="17" s="1" customFormat="1" spans="1:14">
      <c r="A17" s="1" t="s">
        <v>36</v>
      </c>
      <c r="B17" s="3">
        <v>1725</v>
      </c>
      <c r="C17" s="4">
        <v>1892.882449936</v>
      </c>
      <c r="D17" s="4">
        <v>1547.16015543269</v>
      </c>
      <c r="E17" s="1">
        <v>2177.9059551877</v>
      </c>
      <c r="G17" s="1">
        <f t="shared" si="0"/>
        <v>-167.882449936</v>
      </c>
      <c r="H17" s="1">
        <f t="shared" si="1"/>
        <v>177.83984456731</v>
      </c>
      <c r="I17" s="1">
        <f t="shared" si="2"/>
        <v>-452.9059551877</v>
      </c>
      <c r="K17" s="1">
        <f t="shared" si="3"/>
        <v>18475</v>
      </c>
      <c r="L17" s="1">
        <f t="shared" si="4"/>
        <v>18888.9437847764</v>
      </c>
      <c r="M17" s="1">
        <f t="shared" si="5"/>
        <v>18704.9088455462</v>
      </c>
      <c r="N17" s="1">
        <f t="shared" si="6"/>
        <v>19273.885626923</v>
      </c>
    </row>
    <row r="18" s="1" customFormat="1" spans="1:14">
      <c r="A18" s="1" t="s">
        <v>37</v>
      </c>
      <c r="B18" s="3">
        <v>1800</v>
      </c>
      <c r="C18" s="4">
        <v>1521.12659999682</v>
      </c>
      <c r="D18" s="4">
        <v>1347.1778200331</v>
      </c>
      <c r="E18" s="1">
        <v>981.804841123601</v>
      </c>
      <c r="G18" s="1">
        <f t="shared" si="0"/>
        <v>278.87340000318</v>
      </c>
      <c r="H18" s="1">
        <f t="shared" si="1"/>
        <v>452.8221799669</v>
      </c>
      <c r="I18" s="1">
        <f t="shared" si="2"/>
        <v>818.195158876399</v>
      </c>
      <c r="K18" s="1">
        <f t="shared" si="3"/>
        <v>20275</v>
      </c>
      <c r="L18" s="1">
        <f t="shared" si="4"/>
        <v>20410.0703847732</v>
      </c>
      <c r="M18" s="1">
        <f t="shared" si="5"/>
        <v>20052.0866655793</v>
      </c>
      <c r="N18" s="1">
        <f t="shared" si="6"/>
        <v>20255.6904680466</v>
      </c>
    </row>
    <row r="19" s="1" customFormat="1" spans="1:14">
      <c r="A19" s="1" t="s">
        <v>38</v>
      </c>
      <c r="B19" s="3">
        <v>75</v>
      </c>
      <c r="C19" s="4">
        <v>-454.57773422199</v>
      </c>
      <c r="D19" s="4">
        <v>-368.408076082397</v>
      </c>
      <c r="E19" s="1">
        <v>13.8202832433999</v>
      </c>
      <c r="G19" s="1">
        <f t="shared" si="0"/>
        <v>529.57773422199</v>
      </c>
      <c r="H19" s="1">
        <f t="shared" si="1"/>
        <v>443.408076082397</v>
      </c>
      <c r="I19" s="1">
        <f t="shared" si="2"/>
        <v>61.1797167566001</v>
      </c>
      <c r="K19" s="1">
        <f t="shared" si="3"/>
        <v>20350</v>
      </c>
      <c r="L19" s="1">
        <f t="shared" si="4"/>
        <v>19955.4926505512</v>
      </c>
      <c r="M19" s="1">
        <f t="shared" si="5"/>
        <v>19683.6785894969</v>
      </c>
      <c r="N19" s="1">
        <f t="shared" si="6"/>
        <v>20269.51075129</v>
      </c>
    </row>
    <row r="20" s="1" customFormat="1" spans="1:14">
      <c r="A20" s="1" t="s">
        <v>39</v>
      </c>
      <c r="B20" s="3">
        <v>-500</v>
      </c>
      <c r="C20" s="4">
        <v>-454.57773422199</v>
      </c>
      <c r="D20" s="4">
        <v>-368.408076082397</v>
      </c>
      <c r="E20" s="1">
        <v>13.8202832433999</v>
      </c>
      <c r="G20" s="1">
        <f t="shared" si="0"/>
        <v>-45.42226577801</v>
      </c>
      <c r="H20" s="1">
        <f t="shared" si="1"/>
        <v>-131.591923917603</v>
      </c>
      <c r="I20" s="1">
        <f t="shared" si="2"/>
        <v>-513.8202832434</v>
      </c>
      <c r="K20" s="1">
        <f t="shared" si="3"/>
        <v>19850</v>
      </c>
      <c r="L20" s="1">
        <f t="shared" si="4"/>
        <v>19500.9149163292</v>
      </c>
      <c r="M20" s="1">
        <f t="shared" si="5"/>
        <v>19315.2705134145</v>
      </c>
      <c r="N20" s="1">
        <f t="shared" si="6"/>
        <v>20283.3310345334</v>
      </c>
    </row>
    <row r="21" s="1" customFormat="1" spans="1:14">
      <c r="A21" s="1" t="s">
        <v>40</v>
      </c>
      <c r="B21" s="3">
        <v>600</v>
      </c>
      <c r="C21" s="4">
        <v>537.523538077771</v>
      </c>
      <c r="D21" s="4">
        <v>367.676955832804</v>
      </c>
      <c r="E21" s="1">
        <v>498.573849745702</v>
      </c>
      <c r="G21" s="1">
        <f t="shared" si="0"/>
        <v>62.476461922229</v>
      </c>
      <c r="H21" s="1">
        <f t="shared" si="1"/>
        <v>232.323044167196</v>
      </c>
      <c r="I21" s="1">
        <f t="shared" si="2"/>
        <v>101.426150254298</v>
      </c>
      <c r="K21" s="1">
        <f t="shared" si="3"/>
        <v>20450</v>
      </c>
      <c r="L21" s="1">
        <f t="shared" si="4"/>
        <v>20038.438454407</v>
      </c>
      <c r="M21" s="1">
        <f t="shared" si="5"/>
        <v>19682.9474692473</v>
      </c>
      <c r="N21" s="1">
        <f t="shared" si="6"/>
        <v>20781.9048842791</v>
      </c>
    </row>
    <row r="22" s="1" customFormat="1" spans="1:14">
      <c r="A22" s="1" t="s">
        <v>41</v>
      </c>
      <c r="B22" s="3">
        <v>975</v>
      </c>
      <c r="C22" s="4">
        <v>684.214952869635</v>
      </c>
      <c r="D22" s="4">
        <v>757.927695430311</v>
      </c>
      <c r="E22" s="1">
        <v>585.8570599544</v>
      </c>
      <c r="G22" s="1">
        <f t="shared" si="0"/>
        <v>290.785047130365</v>
      </c>
      <c r="H22" s="1">
        <f t="shared" si="1"/>
        <v>217.072304569689</v>
      </c>
      <c r="I22" s="1">
        <f t="shared" si="2"/>
        <v>389.1429400456</v>
      </c>
      <c r="K22" s="1">
        <f t="shared" si="3"/>
        <v>21425</v>
      </c>
      <c r="L22" s="1">
        <f t="shared" si="4"/>
        <v>20722.6534072766</v>
      </c>
      <c r="M22" s="1">
        <f t="shared" si="5"/>
        <v>20440.8751646776</v>
      </c>
      <c r="N22" s="1">
        <f t="shared" si="6"/>
        <v>21367.7619442335</v>
      </c>
    </row>
    <row r="23" s="1" customFormat="1" spans="1:14">
      <c r="A23" s="1" t="s">
        <v>42</v>
      </c>
      <c r="B23" s="3">
        <v>450</v>
      </c>
      <c r="C23" s="4">
        <v>298.208877591166</v>
      </c>
      <c r="D23" s="4">
        <v>436.910200414673</v>
      </c>
      <c r="E23" s="1">
        <v>811.075933861299</v>
      </c>
      <c r="G23" s="1">
        <f t="shared" si="0"/>
        <v>151.791122408834</v>
      </c>
      <c r="H23" s="1">
        <f t="shared" si="1"/>
        <v>13.089799585327</v>
      </c>
      <c r="I23" s="1">
        <f t="shared" si="2"/>
        <v>-361.075933861299</v>
      </c>
      <c r="K23" s="1">
        <f t="shared" si="3"/>
        <v>21875</v>
      </c>
      <c r="L23" s="1">
        <f t="shared" si="4"/>
        <v>21020.8622848678</v>
      </c>
      <c r="M23" s="1">
        <f t="shared" si="5"/>
        <v>20877.7853650923</v>
      </c>
      <c r="N23" s="1">
        <f t="shared" si="6"/>
        <v>22178.8378780948</v>
      </c>
    </row>
    <row r="24" s="1" customFormat="1" spans="1:14">
      <c r="A24" s="1" t="s">
        <v>43</v>
      </c>
      <c r="B24" s="3">
        <v>2225</v>
      </c>
      <c r="C24" s="4">
        <v>1880.23591469508</v>
      </c>
      <c r="D24" s="4">
        <v>1365.65650079509</v>
      </c>
      <c r="E24" s="1">
        <v>1640.39448476</v>
      </c>
      <c r="G24" s="1">
        <f t="shared" si="0"/>
        <v>344.76408530492</v>
      </c>
      <c r="H24" s="1">
        <f t="shared" si="1"/>
        <v>859.34349920491</v>
      </c>
      <c r="I24" s="1">
        <f t="shared" si="2"/>
        <v>584.60551524</v>
      </c>
      <c r="K24" s="1">
        <f t="shared" si="3"/>
        <v>24100</v>
      </c>
      <c r="L24" s="1">
        <f t="shared" si="4"/>
        <v>22901.0981995628</v>
      </c>
      <c r="M24" s="1">
        <f t="shared" si="5"/>
        <v>22243.4418658874</v>
      </c>
      <c r="N24" s="1">
        <f t="shared" si="6"/>
        <v>23819.2323628548</v>
      </c>
    </row>
    <row r="25" s="1" customFormat="1" spans="1:14">
      <c r="A25" s="1" t="s">
        <v>44</v>
      </c>
      <c r="B25" s="3">
        <v>1725</v>
      </c>
      <c r="C25" s="4">
        <v>1740.50528877499</v>
      </c>
      <c r="D25" s="4">
        <v>1528.6814746707</v>
      </c>
      <c r="E25" s="1">
        <v>1519.3163115513</v>
      </c>
      <c r="G25" s="1">
        <f t="shared" si="0"/>
        <v>-15.50528877499</v>
      </c>
      <c r="H25" s="1">
        <f t="shared" si="1"/>
        <v>196.3185253293</v>
      </c>
      <c r="I25" s="1">
        <f t="shared" si="2"/>
        <v>205.683688448698</v>
      </c>
      <c r="K25" s="1">
        <f t="shared" si="3"/>
        <v>25825</v>
      </c>
      <c r="L25" s="1">
        <f t="shared" si="4"/>
        <v>24641.6034883378</v>
      </c>
      <c r="M25" s="1">
        <f t="shared" si="5"/>
        <v>23772.1233405581</v>
      </c>
      <c r="N25" s="1">
        <f t="shared" si="6"/>
        <v>25338.5486744061</v>
      </c>
    </row>
    <row r="26" s="1" customFormat="1" spans="1:14">
      <c r="A26" s="1" t="s">
        <v>45</v>
      </c>
      <c r="B26" s="3">
        <v>3250</v>
      </c>
      <c r="C26" s="4">
        <v>2757.24006263128</v>
      </c>
      <c r="D26" s="4">
        <v>2836.52090082101</v>
      </c>
      <c r="E26" s="1">
        <v>2628.8645586899</v>
      </c>
      <c r="G26" s="1">
        <f t="shared" si="0"/>
        <v>492.75993736872</v>
      </c>
      <c r="H26" s="1">
        <f t="shared" si="1"/>
        <v>413.47909917899</v>
      </c>
      <c r="I26" s="1">
        <f t="shared" si="2"/>
        <v>621.135441310103</v>
      </c>
      <c r="K26" s="1">
        <f t="shared" si="3"/>
        <v>29075</v>
      </c>
      <c r="L26" s="1">
        <f t="shared" si="4"/>
        <v>27398.8435509691</v>
      </c>
      <c r="M26" s="1">
        <f t="shared" si="5"/>
        <v>26608.6442413791</v>
      </c>
      <c r="N26" s="1">
        <f t="shared" si="6"/>
        <v>27967.413233096</v>
      </c>
    </row>
    <row r="27" s="1" customFormat="1" spans="1:14">
      <c r="A27" s="1" t="s">
        <v>46</v>
      </c>
      <c r="B27" s="3">
        <v>2100</v>
      </c>
      <c r="C27" s="4">
        <v>2199.66315507594</v>
      </c>
      <c r="D27" s="4">
        <v>2283.24518734789</v>
      </c>
      <c r="E27" s="1">
        <v>2662.6595216901</v>
      </c>
      <c r="G27" s="1">
        <f t="shared" si="0"/>
        <v>-99.6631550759398</v>
      </c>
      <c r="H27" s="1">
        <f t="shared" si="1"/>
        <v>-183.24518734789</v>
      </c>
      <c r="I27" s="1">
        <f t="shared" si="2"/>
        <v>-562.659521690101</v>
      </c>
      <c r="K27" s="1">
        <f t="shared" si="3"/>
        <v>31175</v>
      </c>
      <c r="L27" s="1">
        <f t="shared" si="4"/>
        <v>29598.5067060451</v>
      </c>
      <c r="M27" s="1">
        <f t="shared" si="5"/>
        <v>28891.889428727</v>
      </c>
      <c r="N27" s="1">
        <f t="shared" si="6"/>
        <v>30630.0727547861</v>
      </c>
    </row>
    <row r="28" spans="2:14">
      <c r="B28" s="3">
        <v>900</v>
      </c>
      <c r="C28" s="4">
        <v>684.214952869635</v>
      </c>
      <c r="D28" s="4">
        <v>757.927695430311</v>
      </c>
      <c r="E28" s="1">
        <v>585.8570599544</v>
      </c>
      <c r="G28" s="1">
        <f t="shared" si="0"/>
        <v>215.785047130365</v>
      </c>
      <c r="H28" s="1">
        <f t="shared" si="1"/>
        <v>142.072304569689</v>
      </c>
      <c r="I28" s="1">
        <f t="shared" si="2"/>
        <v>314.1429400456</v>
      </c>
      <c r="K28" s="1">
        <f t="shared" si="3"/>
        <v>32075</v>
      </c>
      <c r="L28" s="1">
        <f t="shared" si="4"/>
        <v>30282.7216589147</v>
      </c>
      <c r="M28" s="1">
        <f t="shared" si="5"/>
        <v>29649.8171241573</v>
      </c>
      <c r="N28" s="1">
        <f t="shared" si="6"/>
        <v>31215.9298147405</v>
      </c>
    </row>
    <row r="29" spans="2:14">
      <c r="B29" s="3">
        <v>925</v>
      </c>
      <c r="C29" s="4">
        <v>769.802923823537</v>
      </c>
      <c r="D29" s="4">
        <v>906.172516615721</v>
      </c>
      <c r="E29" s="1">
        <v>1240.6091904358</v>
      </c>
      <c r="G29" s="1">
        <f t="shared" si="0"/>
        <v>155.197076176463</v>
      </c>
      <c r="H29" s="1">
        <f t="shared" si="1"/>
        <v>18.827483384279</v>
      </c>
      <c r="I29" s="1">
        <f t="shared" si="2"/>
        <v>-315.6091904358</v>
      </c>
      <c r="K29" s="1">
        <f t="shared" si="3"/>
        <v>33000</v>
      </c>
      <c r="L29" s="1">
        <f t="shared" si="4"/>
        <v>31052.5245827382</v>
      </c>
      <c r="M29" s="1">
        <f t="shared" si="5"/>
        <v>30555.989640773</v>
      </c>
      <c r="N29" s="1">
        <f t="shared" si="6"/>
        <v>32456.5390051763</v>
      </c>
    </row>
    <row r="30" spans="2:14">
      <c r="B30" s="3">
        <v>275</v>
      </c>
      <c r="C30" s="4">
        <v>311.109574558761</v>
      </c>
      <c r="D30" s="4">
        <v>724.668861978121</v>
      </c>
      <c r="E30" s="1">
        <v>703.0977200081</v>
      </c>
      <c r="G30" s="1">
        <f t="shared" si="0"/>
        <v>-36.109574558761</v>
      </c>
      <c r="H30" s="1">
        <f t="shared" si="1"/>
        <v>-449.668861978121</v>
      </c>
      <c r="I30" s="1">
        <f t="shared" si="2"/>
        <v>-428.0977200081</v>
      </c>
      <c r="K30" s="1">
        <f t="shared" si="3"/>
        <v>33275</v>
      </c>
      <c r="L30" s="1">
        <f t="shared" si="4"/>
        <v>31363.634157297</v>
      </c>
      <c r="M30" s="1">
        <f t="shared" si="5"/>
        <v>31280.6585027511</v>
      </c>
      <c r="N30" s="1">
        <f t="shared" si="6"/>
        <v>33159.6367251844</v>
      </c>
    </row>
    <row r="31" spans="2:14">
      <c r="B31" s="3">
        <v>-25</v>
      </c>
      <c r="C31" s="4">
        <v>138.16049459373</v>
      </c>
      <c r="D31" s="4">
        <v>21.8426635151099</v>
      </c>
      <c r="E31" s="1">
        <v>101.103493452101</v>
      </c>
      <c r="G31" s="1">
        <f t="shared" si="0"/>
        <v>-163.16049459373</v>
      </c>
      <c r="H31" s="1">
        <f t="shared" si="1"/>
        <v>-46.8426635151099</v>
      </c>
      <c r="I31" s="1">
        <f t="shared" si="2"/>
        <v>-126.103493452101</v>
      </c>
      <c r="K31" s="1">
        <f t="shared" si="3"/>
        <v>33250</v>
      </c>
      <c r="L31" s="1">
        <f t="shared" si="4"/>
        <v>31501.7946518907</v>
      </c>
      <c r="M31" s="1">
        <f t="shared" si="5"/>
        <v>31302.5011662662</v>
      </c>
      <c r="N31" s="1">
        <f t="shared" si="6"/>
        <v>33260.7402186365</v>
      </c>
    </row>
    <row r="32" spans="2:14">
      <c r="B32" s="3">
        <v>1300</v>
      </c>
      <c r="C32" s="4">
        <v>1464.64584259771</v>
      </c>
      <c r="D32" s="4">
        <v>1380.43665348529</v>
      </c>
      <c r="E32" s="1">
        <v>864.5641810698</v>
      </c>
      <c r="G32" s="1">
        <f t="shared" si="0"/>
        <v>-164.64584259771</v>
      </c>
      <c r="H32" s="1">
        <f t="shared" si="1"/>
        <v>-80.43665348529</v>
      </c>
      <c r="I32" s="1">
        <f t="shared" si="2"/>
        <v>435.4358189302</v>
      </c>
      <c r="K32" s="1">
        <f t="shared" si="3"/>
        <v>34550</v>
      </c>
      <c r="L32" s="1">
        <f t="shared" si="4"/>
        <v>32966.4404944884</v>
      </c>
      <c r="M32" s="1">
        <f t="shared" si="5"/>
        <v>32682.9378197515</v>
      </c>
      <c r="N32" s="1">
        <f t="shared" si="6"/>
        <v>34125.3043997063</v>
      </c>
    </row>
    <row r="33" spans="2:14">
      <c r="B33" s="3">
        <v>725</v>
      </c>
      <c r="C33" s="4">
        <v>1126.44762382054</v>
      </c>
      <c r="D33" s="4">
        <v>1008.66459464977</v>
      </c>
      <c r="E33" s="1">
        <v>1435.8706144976</v>
      </c>
      <c r="G33" s="1">
        <f t="shared" si="0"/>
        <v>-401.44762382054</v>
      </c>
      <c r="H33" s="1">
        <f t="shared" si="1"/>
        <v>-283.66459464977</v>
      </c>
      <c r="I33" s="1">
        <f t="shared" si="2"/>
        <v>-710.870614497602</v>
      </c>
      <c r="K33" s="1">
        <f t="shared" si="3"/>
        <v>35275</v>
      </c>
      <c r="L33" s="1">
        <f t="shared" si="4"/>
        <v>34092.888118309</v>
      </c>
      <c r="M33" s="1">
        <f t="shared" si="5"/>
        <v>33691.6024144013</v>
      </c>
      <c r="N33" s="1">
        <f t="shared" si="6"/>
        <v>35561.1750142039</v>
      </c>
    </row>
    <row r="34" spans="2:14">
      <c r="B34" s="3">
        <v>825</v>
      </c>
      <c r="C34" s="4">
        <v>472.544570297949</v>
      </c>
      <c r="D34" s="4">
        <v>713.584866151964</v>
      </c>
      <c r="E34" s="1">
        <v>692.312698683098</v>
      </c>
      <c r="G34" s="1">
        <f t="shared" si="0"/>
        <v>352.455429702051</v>
      </c>
      <c r="H34" s="1">
        <f t="shared" si="1"/>
        <v>111.415133848036</v>
      </c>
      <c r="I34" s="1">
        <f t="shared" si="2"/>
        <v>132.687301316902</v>
      </c>
      <c r="K34" s="1">
        <f t="shared" si="3"/>
        <v>36100</v>
      </c>
      <c r="L34" s="1">
        <f t="shared" si="4"/>
        <v>34565.4326886069</v>
      </c>
      <c r="M34" s="1">
        <f t="shared" si="5"/>
        <v>34405.1872805532</v>
      </c>
      <c r="N34" s="1">
        <f t="shared" si="6"/>
        <v>36253.487712887</v>
      </c>
    </row>
    <row r="35" spans="2:14">
      <c r="B35" s="3">
        <v>-575</v>
      </c>
      <c r="C35" s="4">
        <v>-227.909608976304</v>
      </c>
      <c r="D35" s="4">
        <v>-549.911730719996</v>
      </c>
      <c r="E35" s="1">
        <v>-523.691187184297</v>
      </c>
      <c r="G35" s="1">
        <f t="shared" si="0"/>
        <v>-347.090391023696</v>
      </c>
      <c r="H35" s="1">
        <f t="shared" si="1"/>
        <v>-25.0882692800041</v>
      </c>
      <c r="I35" s="1">
        <f t="shared" si="2"/>
        <v>-51.3088128157033</v>
      </c>
      <c r="K35" s="1">
        <f t="shared" si="3"/>
        <v>35525</v>
      </c>
      <c r="L35" s="1">
        <f t="shared" si="4"/>
        <v>34337.5230796306</v>
      </c>
      <c r="M35" s="1">
        <f t="shared" si="5"/>
        <v>33855.2755498332</v>
      </c>
      <c r="N35" s="1">
        <f t="shared" si="6"/>
        <v>35729.7965257027</v>
      </c>
    </row>
    <row r="36" spans="2:14">
      <c r="B36" s="3">
        <v>1150</v>
      </c>
      <c r="C36" s="4">
        <v>675.801430440634</v>
      </c>
      <c r="D36" s="4">
        <v>895.088520789563</v>
      </c>
      <c r="E36" s="1">
        <v>1229.8241691107</v>
      </c>
      <c r="G36" s="1">
        <f t="shared" ref="G36:G77" si="7">B36-C36</f>
        <v>474.198569559366</v>
      </c>
      <c r="H36" s="1">
        <f t="shared" ref="H36:H77" si="8">B36-D36</f>
        <v>254.911479210437</v>
      </c>
      <c r="I36" s="1">
        <f t="shared" ref="I36:I77" si="9">B36-E36</f>
        <v>-79.8241691106959</v>
      </c>
      <c r="K36" s="1">
        <f t="shared" ref="K36:K77" si="10">K35+B36</f>
        <v>36675</v>
      </c>
      <c r="L36" s="1">
        <f t="shared" ref="L36:L77" si="11">L35+C36</f>
        <v>35013.3245100712</v>
      </c>
      <c r="M36" s="1">
        <f t="shared" ref="M36:M77" si="12">M35+D36</f>
        <v>34750.3640706228</v>
      </c>
      <c r="N36" s="1">
        <f t="shared" ref="N36:N77" si="13">N35+E36</f>
        <v>36959.6206948134</v>
      </c>
    </row>
    <row r="37" spans="2:14">
      <c r="B37" s="3">
        <v>-150</v>
      </c>
      <c r="C37" s="4">
        <v>318.144849299599</v>
      </c>
      <c r="D37" s="4">
        <v>186.173301195205</v>
      </c>
      <c r="E37" s="1">
        <v>-38.9376206818997</v>
      </c>
      <c r="G37" s="1">
        <f t="shared" si="7"/>
        <v>-468.144849299599</v>
      </c>
      <c r="H37" s="1">
        <f t="shared" si="8"/>
        <v>-336.173301195205</v>
      </c>
      <c r="I37" s="1">
        <f t="shared" si="9"/>
        <v>-111.0623793181</v>
      </c>
      <c r="K37" s="1">
        <f t="shared" si="10"/>
        <v>36525</v>
      </c>
      <c r="L37" s="1">
        <f t="shared" si="11"/>
        <v>35331.4693593708</v>
      </c>
      <c r="M37" s="1">
        <f t="shared" si="12"/>
        <v>34936.537371818</v>
      </c>
      <c r="N37" s="1">
        <f t="shared" si="13"/>
        <v>36920.6830741315</v>
      </c>
    </row>
    <row r="38" spans="2:14">
      <c r="B38" s="3">
        <v>-75</v>
      </c>
      <c r="C38" s="4">
        <v>-673.956423000161</v>
      </c>
      <c r="D38" s="4">
        <v>-549.911730719996</v>
      </c>
      <c r="E38" s="1">
        <v>-523.691187184202</v>
      </c>
      <c r="G38" s="1">
        <f t="shared" si="7"/>
        <v>598.956423000161</v>
      </c>
      <c r="H38" s="1">
        <f t="shared" si="8"/>
        <v>474.911730719996</v>
      </c>
      <c r="I38" s="1">
        <f t="shared" si="9"/>
        <v>448.691187184202</v>
      </c>
      <c r="K38" s="1">
        <f t="shared" si="10"/>
        <v>36450</v>
      </c>
      <c r="L38" s="1">
        <f t="shared" si="11"/>
        <v>34657.5129363707</v>
      </c>
      <c r="M38" s="1">
        <f t="shared" si="12"/>
        <v>34386.625641098</v>
      </c>
      <c r="N38" s="1">
        <f t="shared" si="13"/>
        <v>36396.9918869473</v>
      </c>
    </row>
    <row r="39" spans="2:14">
      <c r="B39" s="3">
        <v>1325</v>
      </c>
      <c r="C39" s="4">
        <v>871.907613781989</v>
      </c>
      <c r="D39" s="4">
        <v>1059.41915846965</v>
      </c>
      <c r="E39" s="1">
        <v>1089.7830549767</v>
      </c>
      <c r="G39" s="1">
        <f t="shared" si="7"/>
        <v>453.092386218011</v>
      </c>
      <c r="H39" s="1">
        <f t="shared" si="8"/>
        <v>265.58084153035</v>
      </c>
      <c r="I39" s="1">
        <f t="shared" si="9"/>
        <v>235.216945023298</v>
      </c>
      <c r="K39" s="1">
        <f t="shared" si="10"/>
        <v>37775</v>
      </c>
      <c r="L39" s="1">
        <f t="shared" si="11"/>
        <v>35529.4205501527</v>
      </c>
      <c r="M39" s="1">
        <f t="shared" si="12"/>
        <v>35446.0447995677</v>
      </c>
      <c r="N39" s="1">
        <f t="shared" si="13"/>
        <v>37486.774941924</v>
      </c>
    </row>
    <row r="40" spans="2:14">
      <c r="B40" s="3">
        <v>625</v>
      </c>
      <c r="C40" s="4">
        <v>679.276723835201</v>
      </c>
      <c r="D40" s="4">
        <v>713.584866151964</v>
      </c>
      <c r="E40" s="1">
        <v>692.312698683098</v>
      </c>
      <c r="G40" s="1">
        <f t="shared" si="7"/>
        <v>-54.276723835201</v>
      </c>
      <c r="H40" s="1">
        <f t="shared" si="8"/>
        <v>-88.584866151964</v>
      </c>
      <c r="I40" s="1">
        <f t="shared" si="9"/>
        <v>-67.3126986830976</v>
      </c>
      <c r="K40" s="1">
        <f t="shared" si="10"/>
        <v>38400</v>
      </c>
      <c r="L40" s="1">
        <f t="shared" si="11"/>
        <v>36208.6972739879</v>
      </c>
      <c r="M40" s="1">
        <f t="shared" si="12"/>
        <v>36159.6296657196</v>
      </c>
      <c r="N40" s="1">
        <f t="shared" si="13"/>
        <v>38179.0876406071</v>
      </c>
    </row>
    <row r="41" spans="2:14">
      <c r="B41" s="3">
        <v>-50</v>
      </c>
      <c r="C41" s="4">
        <v>314.330706226652</v>
      </c>
      <c r="D41" s="4">
        <v>367.676955832804</v>
      </c>
      <c r="E41" s="1">
        <v>498.573849745801</v>
      </c>
      <c r="G41" s="1">
        <f t="shared" si="7"/>
        <v>-364.330706226652</v>
      </c>
      <c r="H41" s="1">
        <f t="shared" si="8"/>
        <v>-417.676955832804</v>
      </c>
      <c r="I41" s="1">
        <f t="shared" si="9"/>
        <v>-548.573849745801</v>
      </c>
      <c r="K41" s="1">
        <f t="shared" si="10"/>
        <v>38350</v>
      </c>
      <c r="L41" s="1">
        <f t="shared" si="11"/>
        <v>36523.0279802145</v>
      </c>
      <c r="M41" s="1">
        <f t="shared" si="12"/>
        <v>36527.3066215524</v>
      </c>
      <c r="N41" s="1">
        <f t="shared" si="13"/>
        <v>38677.6614903529</v>
      </c>
    </row>
    <row r="42" spans="2:14">
      <c r="B42" s="3">
        <v>1125</v>
      </c>
      <c r="C42" s="4">
        <v>1137.97007309997</v>
      </c>
      <c r="D42" s="4">
        <v>825.855276207694</v>
      </c>
      <c r="E42" s="1">
        <v>917.322084995103</v>
      </c>
      <c r="G42" s="1">
        <f t="shared" si="7"/>
        <v>-12.97007309997</v>
      </c>
      <c r="H42" s="1">
        <f t="shared" si="8"/>
        <v>299.144723792306</v>
      </c>
      <c r="I42" s="1">
        <f t="shared" si="9"/>
        <v>207.677915004897</v>
      </c>
      <c r="K42" s="1">
        <f t="shared" si="10"/>
        <v>39475</v>
      </c>
      <c r="L42" s="1">
        <f t="shared" si="11"/>
        <v>37660.9980533145</v>
      </c>
      <c r="M42" s="1">
        <f t="shared" si="12"/>
        <v>37353.1618977601</v>
      </c>
      <c r="N42" s="1">
        <f t="shared" si="13"/>
        <v>39594.983575348</v>
      </c>
    </row>
    <row r="43" spans="2:14">
      <c r="B43" s="3">
        <v>250</v>
      </c>
      <c r="C43" s="4">
        <v>313.206620265166</v>
      </c>
      <c r="D43" s="4">
        <v>72.5972273349884</v>
      </c>
      <c r="E43" s="1">
        <v>-244.984066068799</v>
      </c>
      <c r="G43" s="1">
        <f t="shared" si="7"/>
        <v>-63.206620265166</v>
      </c>
      <c r="H43" s="1">
        <f t="shared" si="8"/>
        <v>177.402772665012</v>
      </c>
      <c r="I43" s="1">
        <f t="shared" si="9"/>
        <v>494.984066068799</v>
      </c>
      <c r="K43" s="1">
        <f t="shared" si="10"/>
        <v>39725</v>
      </c>
      <c r="L43" s="1">
        <f t="shared" si="11"/>
        <v>37974.2046735797</v>
      </c>
      <c r="M43" s="1">
        <f t="shared" si="12"/>
        <v>37425.7591250951</v>
      </c>
      <c r="N43" s="1">
        <f t="shared" si="13"/>
        <v>39349.9995092792</v>
      </c>
    </row>
    <row r="44" spans="2:14">
      <c r="B44" s="3">
        <v>225</v>
      </c>
      <c r="C44" s="4">
        <v>871.907613781989</v>
      </c>
      <c r="D44" s="4">
        <v>1059.41915846965</v>
      </c>
      <c r="E44" s="1">
        <v>1089.7830549768</v>
      </c>
      <c r="G44" s="1">
        <f t="shared" si="7"/>
        <v>-646.907613781989</v>
      </c>
      <c r="H44" s="1">
        <f t="shared" si="8"/>
        <v>-834.41915846965</v>
      </c>
      <c r="I44" s="1">
        <f t="shared" si="9"/>
        <v>-864.783054976797</v>
      </c>
      <c r="K44" s="1">
        <f t="shared" si="10"/>
        <v>39950</v>
      </c>
      <c r="L44" s="1">
        <f t="shared" si="11"/>
        <v>38846.1122873616</v>
      </c>
      <c r="M44" s="1">
        <f t="shared" si="12"/>
        <v>38485.1782835648</v>
      </c>
      <c r="N44" s="1">
        <f t="shared" si="13"/>
        <v>40439.782564256</v>
      </c>
    </row>
    <row r="45" spans="2:14">
      <c r="B45" s="3">
        <v>1400</v>
      </c>
      <c r="C45" s="4">
        <v>1365.76228430715</v>
      </c>
      <c r="D45" s="4">
        <v>1008.66459464977</v>
      </c>
      <c r="E45" s="1">
        <v>1435.8706144976</v>
      </c>
      <c r="G45" s="1">
        <f t="shared" si="7"/>
        <v>34.2377156928501</v>
      </c>
      <c r="H45" s="1">
        <f t="shared" si="8"/>
        <v>391.33540535023</v>
      </c>
      <c r="I45" s="1">
        <f t="shared" si="9"/>
        <v>-35.8706144976022</v>
      </c>
      <c r="K45" s="1">
        <f t="shared" si="10"/>
        <v>41350</v>
      </c>
      <c r="L45" s="1">
        <f t="shared" si="11"/>
        <v>40211.8745716688</v>
      </c>
      <c r="M45" s="1">
        <f t="shared" si="12"/>
        <v>39493.8428782145</v>
      </c>
      <c r="N45" s="1">
        <f t="shared" si="13"/>
        <v>41875.6531787536</v>
      </c>
    </row>
    <row r="46" spans="2:14">
      <c r="B46" s="3">
        <v>675</v>
      </c>
      <c r="C46" s="4">
        <v>521.062859763905</v>
      </c>
      <c r="D46" s="4">
        <v>436.910200414673</v>
      </c>
      <c r="E46" s="1">
        <v>811.075933861299</v>
      </c>
      <c r="G46" s="1">
        <f t="shared" si="7"/>
        <v>153.937140236095</v>
      </c>
      <c r="H46" s="1">
        <f t="shared" si="8"/>
        <v>238.089799585327</v>
      </c>
      <c r="I46" s="1">
        <f t="shared" si="9"/>
        <v>-136.075933861299</v>
      </c>
      <c r="K46" s="1">
        <f t="shared" si="10"/>
        <v>42025</v>
      </c>
      <c r="L46" s="1">
        <f t="shared" si="11"/>
        <v>40732.9374314327</v>
      </c>
      <c r="M46" s="1">
        <f t="shared" si="12"/>
        <v>39930.7530786292</v>
      </c>
      <c r="N46" s="1">
        <f t="shared" si="13"/>
        <v>42686.7291126149</v>
      </c>
    </row>
    <row r="47" spans="2:14">
      <c r="B47" s="3">
        <v>-75</v>
      </c>
      <c r="C47" s="4">
        <v>-84.693487579008</v>
      </c>
      <c r="D47" s="4">
        <v>21.8426635151099</v>
      </c>
      <c r="E47" s="1">
        <v>101.103493451999</v>
      </c>
      <c r="G47" s="1">
        <f t="shared" si="7"/>
        <v>9.69348757900801</v>
      </c>
      <c r="H47" s="1">
        <f t="shared" si="8"/>
        <v>-96.8426635151099</v>
      </c>
      <c r="I47" s="1">
        <f t="shared" si="9"/>
        <v>-176.103493451999</v>
      </c>
      <c r="K47" s="1">
        <f t="shared" si="10"/>
        <v>41950</v>
      </c>
      <c r="L47" s="1">
        <f t="shared" si="11"/>
        <v>40648.2439438537</v>
      </c>
      <c r="M47" s="1">
        <f t="shared" si="12"/>
        <v>39952.5957421443</v>
      </c>
      <c r="N47" s="1">
        <f t="shared" si="13"/>
        <v>42787.8326060669</v>
      </c>
    </row>
    <row r="48" spans="2:14">
      <c r="B48" s="3">
        <v>2850</v>
      </c>
      <c r="C48" s="4">
        <v>2006.44386145265</v>
      </c>
      <c r="D48" s="4">
        <v>1607.30705758723</v>
      </c>
      <c r="E48" s="1">
        <v>1028.2965106076</v>
      </c>
      <c r="G48" s="1">
        <f t="shared" si="7"/>
        <v>843.55613854735</v>
      </c>
      <c r="H48" s="1">
        <f t="shared" si="8"/>
        <v>1242.69294241277</v>
      </c>
      <c r="I48" s="1">
        <f t="shared" si="9"/>
        <v>1821.7034893924</v>
      </c>
      <c r="K48" s="1">
        <f t="shared" si="10"/>
        <v>44800</v>
      </c>
      <c r="L48" s="1">
        <f t="shared" si="11"/>
        <v>42654.6878053063</v>
      </c>
      <c r="M48" s="1">
        <f t="shared" si="12"/>
        <v>41559.9027997315</v>
      </c>
      <c r="N48" s="1">
        <f t="shared" si="13"/>
        <v>43816.1291166745</v>
      </c>
    </row>
    <row r="49" spans="2:14">
      <c r="B49" s="3">
        <v>175</v>
      </c>
      <c r="C49" s="4">
        <v>373.999861685768</v>
      </c>
      <c r="D49" s="4">
        <v>203.346318152709</v>
      </c>
      <c r="E49" s="1">
        <v>638.6149638797</v>
      </c>
      <c r="G49" s="1">
        <f t="shared" si="7"/>
        <v>-198.999861685768</v>
      </c>
      <c r="H49" s="1">
        <f t="shared" si="8"/>
        <v>-28.346318152709</v>
      </c>
      <c r="I49" s="1">
        <f t="shared" si="9"/>
        <v>-463.6149638797</v>
      </c>
      <c r="K49" s="1">
        <f t="shared" si="10"/>
        <v>44975</v>
      </c>
      <c r="L49" s="1">
        <f t="shared" si="11"/>
        <v>43028.6876669921</v>
      </c>
      <c r="M49" s="1">
        <f t="shared" si="12"/>
        <v>41763.2491178843</v>
      </c>
      <c r="N49" s="1">
        <f t="shared" si="13"/>
        <v>44454.7440805542</v>
      </c>
    </row>
    <row r="50" spans="2:14">
      <c r="B50" s="3">
        <v>1625</v>
      </c>
      <c r="C50" s="4">
        <v>1684.02453137588</v>
      </c>
      <c r="D50" s="4">
        <v>1631.17355270476</v>
      </c>
      <c r="E50" s="1">
        <v>1714.577735613</v>
      </c>
      <c r="G50" s="1">
        <f t="shared" si="7"/>
        <v>-59.0245313758801</v>
      </c>
      <c r="H50" s="1">
        <f t="shared" si="8"/>
        <v>-6.17355270475991</v>
      </c>
      <c r="I50" s="1">
        <f t="shared" si="9"/>
        <v>-89.5777356129984</v>
      </c>
      <c r="K50" s="1">
        <f t="shared" si="10"/>
        <v>46600</v>
      </c>
      <c r="L50" s="1">
        <f t="shared" si="11"/>
        <v>44712.712198368</v>
      </c>
      <c r="M50" s="1">
        <f t="shared" si="12"/>
        <v>43394.422670589</v>
      </c>
      <c r="N50" s="1">
        <f t="shared" si="13"/>
        <v>46169.3218161672</v>
      </c>
    </row>
    <row r="51" spans="2:14">
      <c r="B51" s="3">
        <v>1650</v>
      </c>
      <c r="C51" s="4">
        <v>1237.97771735202</v>
      </c>
      <c r="D51" s="4">
        <v>1561.94030812289</v>
      </c>
      <c r="E51" s="1">
        <v>1402.0756514975</v>
      </c>
      <c r="G51" s="1">
        <f t="shared" si="7"/>
        <v>412.02228264798</v>
      </c>
      <c r="H51" s="1">
        <f t="shared" si="8"/>
        <v>88.05969187711</v>
      </c>
      <c r="I51" s="1">
        <f t="shared" si="9"/>
        <v>247.9243485025</v>
      </c>
      <c r="K51" s="1">
        <f t="shared" si="10"/>
        <v>48250</v>
      </c>
      <c r="L51" s="1">
        <f t="shared" si="11"/>
        <v>45950.68991572</v>
      </c>
      <c r="M51" s="1">
        <f t="shared" si="12"/>
        <v>44956.3629787119</v>
      </c>
      <c r="N51" s="1">
        <f t="shared" si="13"/>
        <v>47571.3974676647</v>
      </c>
    </row>
    <row r="52" spans="2:14">
      <c r="B52" s="3">
        <v>1050</v>
      </c>
      <c r="C52" s="4">
        <v>1142.90830213441</v>
      </c>
      <c r="D52" s="4">
        <v>939.43135006791</v>
      </c>
      <c r="E52" s="1">
        <v>1123.368530382</v>
      </c>
      <c r="G52" s="1">
        <f t="shared" si="7"/>
        <v>-92.90830213441</v>
      </c>
      <c r="H52" s="1">
        <f t="shared" si="8"/>
        <v>110.56864993209</v>
      </c>
      <c r="I52" s="1">
        <f t="shared" si="9"/>
        <v>-73.3685303820021</v>
      </c>
      <c r="K52" s="1">
        <f t="shared" si="10"/>
        <v>49300</v>
      </c>
      <c r="L52" s="1">
        <f t="shared" si="11"/>
        <v>47093.5982178544</v>
      </c>
      <c r="M52" s="1">
        <f t="shared" si="12"/>
        <v>45895.7943287798</v>
      </c>
      <c r="N52" s="1">
        <f t="shared" si="13"/>
        <v>48694.7659980467</v>
      </c>
    </row>
    <row r="53" spans="2:14">
      <c r="B53" s="3">
        <v>675</v>
      </c>
      <c r="C53" s="4">
        <v>581.927994638391</v>
      </c>
      <c r="D53" s="4">
        <v>984.798099532249</v>
      </c>
      <c r="E53" s="1">
        <v>749.589389492103</v>
      </c>
      <c r="G53" s="1">
        <f t="shared" si="7"/>
        <v>93.0720053616089</v>
      </c>
      <c r="H53" s="1">
        <f t="shared" si="8"/>
        <v>-309.798099532249</v>
      </c>
      <c r="I53" s="1">
        <f t="shared" si="9"/>
        <v>-74.5893894921028</v>
      </c>
      <c r="K53" s="1">
        <f t="shared" si="10"/>
        <v>49975</v>
      </c>
      <c r="L53" s="1">
        <f t="shared" si="11"/>
        <v>47675.5262124928</v>
      </c>
      <c r="M53" s="1">
        <f t="shared" si="12"/>
        <v>46880.5924283121</v>
      </c>
      <c r="N53" s="1">
        <f t="shared" si="13"/>
        <v>49444.3553875388</v>
      </c>
    </row>
    <row r="54" spans="2:14">
      <c r="B54" s="3">
        <v>600</v>
      </c>
      <c r="C54" s="4">
        <v>569.281459397472</v>
      </c>
      <c r="D54" s="4">
        <v>803.29444489465</v>
      </c>
      <c r="E54" s="1">
        <v>212.077919064395</v>
      </c>
      <c r="G54" s="1">
        <f t="shared" si="7"/>
        <v>30.718540602528</v>
      </c>
      <c r="H54" s="1">
        <f t="shared" si="8"/>
        <v>-203.29444489465</v>
      </c>
      <c r="I54" s="1">
        <f t="shared" si="9"/>
        <v>387.922080935605</v>
      </c>
      <c r="K54" s="1">
        <f t="shared" si="10"/>
        <v>50575</v>
      </c>
      <c r="L54" s="1">
        <f t="shared" si="11"/>
        <v>48244.8076718903</v>
      </c>
      <c r="M54" s="1">
        <f t="shared" si="12"/>
        <v>47683.8868732067</v>
      </c>
      <c r="N54" s="1">
        <f t="shared" si="13"/>
        <v>49656.4333066032</v>
      </c>
    </row>
    <row r="55" spans="2:14">
      <c r="B55" s="3">
        <v>325</v>
      </c>
      <c r="C55" s="4">
        <v>293.270648556732</v>
      </c>
      <c r="D55" s="4">
        <v>254.100881972587</v>
      </c>
      <c r="E55" s="1">
        <v>292.527404358902</v>
      </c>
      <c r="G55" s="1">
        <f t="shared" si="7"/>
        <v>31.729351443268</v>
      </c>
      <c r="H55" s="1">
        <f t="shared" si="8"/>
        <v>70.899118027413</v>
      </c>
      <c r="I55" s="1">
        <f t="shared" si="9"/>
        <v>32.4725956410985</v>
      </c>
      <c r="K55" s="1">
        <f t="shared" si="10"/>
        <v>50900</v>
      </c>
      <c r="L55" s="1">
        <f t="shared" si="11"/>
        <v>48538.078320447</v>
      </c>
      <c r="M55" s="1">
        <f t="shared" si="12"/>
        <v>47937.9877551793</v>
      </c>
      <c r="N55" s="1">
        <f t="shared" si="13"/>
        <v>49948.9607109621</v>
      </c>
    </row>
    <row r="56" spans="2:14">
      <c r="B56" s="3">
        <v>875</v>
      </c>
      <c r="C56" s="4">
        <v>1444.26757454126</v>
      </c>
      <c r="D56" s="4">
        <v>871.222025672033</v>
      </c>
      <c r="E56" s="1">
        <v>543.542944105204</v>
      </c>
      <c r="G56" s="1">
        <f t="shared" si="7"/>
        <v>-569.26757454126</v>
      </c>
      <c r="H56" s="1">
        <f t="shared" si="8"/>
        <v>3.77797432796694</v>
      </c>
      <c r="I56" s="1">
        <f t="shared" si="9"/>
        <v>331.457055894796</v>
      </c>
      <c r="K56" s="1">
        <f t="shared" si="10"/>
        <v>51775</v>
      </c>
      <c r="L56" s="1">
        <f t="shared" si="11"/>
        <v>49982.3458949883</v>
      </c>
      <c r="M56" s="1">
        <f t="shared" si="12"/>
        <v>48809.2097808513</v>
      </c>
      <c r="N56" s="1">
        <f t="shared" si="13"/>
        <v>50492.5036550673</v>
      </c>
    </row>
    <row r="57" spans="2:14">
      <c r="B57" s="3">
        <v>925</v>
      </c>
      <c r="C57" s="4">
        <v>1564.21119050174</v>
      </c>
      <c r="D57" s="4">
        <v>1495.0366475315</v>
      </c>
      <c r="E57" s="1">
        <v>803.287124295493</v>
      </c>
      <c r="G57" s="1">
        <f t="shared" si="7"/>
        <v>-639.21119050174</v>
      </c>
      <c r="H57" s="1">
        <f t="shared" si="8"/>
        <v>-570.0366475315</v>
      </c>
      <c r="I57" s="1">
        <f t="shared" si="9"/>
        <v>121.712875704507</v>
      </c>
      <c r="K57" s="1">
        <f t="shared" si="10"/>
        <v>52700</v>
      </c>
      <c r="L57" s="1">
        <f t="shared" si="11"/>
        <v>51546.55708549</v>
      </c>
      <c r="M57" s="1">
        <f t="shared" si="12"/>
        <v>50304.2464283828</v>
      </c>
      <c r="N57" s="1">
        <f t="shared" si="13"/>
        <v>51295.7907793628</v>
      </c>
    </row>
    <row r="58" spans="2:14">
      <c r="B58" s="3">
        <v>825</v>
      </c>
      <c r="C58" s="4">
        <v>903.593641647806</v>
      </c>
      <c r="D58" s="4">
        <v>939.43135006791</v>
      </c>
      <c r="E58" s="1">
        <v>1123.368530382</v>
      </c>
      <c r="G58" s="1">
        <f t="shared" si="7"/>
        <v>-78.593641647806</v>
      </c>
      <c r="H58" s="1">
        <f t="shared" si="8"/>
        <v>-114.43135006791</v>
      </c>
      <c r="I58" s="1">
        <f t="shared" si="9"/>
        <v>-298.368530382002</v>
      </c>
      <c r="K58" s="1">
        <f t="shared" si="10"/>
        <v>53525</v>
      </c>
      <c r="L58" s="1">
        <f t="shared" si="11"/>
        <v>52450.1507271378</v>
      </c>
      <c r="M58" s="1">
        <f t="shared" si="12"/>
        <v>51243.6777784508</v>
      </c>
      <c r="N58" s="1">
        <f t="shared" si="13"/>
        <v>52419.1593097448</v>
      </c>
    </row>
    <row r="59" spans="2:14">
      <c r="B59" s="3">
        <v>725</v>
      </c>
      <c r="C59" s="4">
        <v>919.715470283292</v>
      </c>
      <c r="D59" s="4">
        <v>1008.66459464977</v>
      </c>
      <c r="E59" s="1">
        <v>1435.8706144976</v>
      </c>
      <c r="G59" s="1">
        <f t="shared" si="7"/>
        <v>-194.715470283292</v>
      </c>
      <c r="H59" s="1">
        <f t="shared" si="8"/>
        <v>-283.66459464977</v>
      </c>
      <c r="I59" s="1">
        <f t="shared" si="9"/>
        <v>-710.870614497602</v>
      </c>
      <c r="K59" s="1">
        <f t="shared" si="10"/>
        <v>54250</v>
      </c>
      <c r="L59" s="1">
        <f t="shared" si="11"/>
        <v>53369.8661974211</v>
      </c>
      <c r="M59" s="1">
        <f t="shared" si="12"/>
        <v>52252.3423731005</v>
      </c>
      <c r="N59" s="1">
        <f t="shared" si="13"/>
        <v>53855.0299242424</v>
      </c>
    </row>
    <row r="60" spans="2:14">
      <c r="B60" s="3">
        <v>675</v>
      </c>
      <c r="C60" s="4">
        <v>641.258300419127</v>
      </c>
      <c r="D60" s="4">
        <v>820.467461852154</v>
      </c>
      <c r="E60" s="1">
        <v>889.630503626002</v>
      </c>
      <c r="G60" s="1">
        <f t="shared" si="7"/>
        <v>33.741699580873</v>
      </c>
      <c r="H60" s="1">
        <f t="shared" si="8"/>
        <v>-145.467461852154</v>
      </c>
      <c r="I60" s="1">
        <f t="shared" si="9"/>
        <v>-214.630503626002</v>
      </c>
      <c r="K60" s="1">
        <f t="shared" si="10"/>
        <v>54925</v>
      </c>
      <c r="L60" s="1">
        <f t="shared" si="11"/>
        <v>54011.1244978402</v>
      </c>
      <c r="M60" s="1">
        <f t="shared" si="12"/>
        <v>53072.8098349527</v>
      </c>
      <c r="N60" s="1">
        <f t="shared" si="13"/>
        <v>54744.6604278684</v>
      </c>
    </row>
    <row r="61" spans="2:14">
      <c r="B61" s="3">
        <v>275</v>
      </c>
      <c r="C61" s="4">
        <v>357.611076825786</v>
      </c>
      <c r="D61" s="4">
        <v>758.951615616302</v>
      </c>
      <c r="E61" s="1">
        <v>318.533557793096</v>
      </c>
      <c r="G61" s="1">
        <f t="shared" si="7"/>
        <v>-82.611076825786</v>
      </c>
      <c r="H61" s="1">
        <f t="shared" si="8"/>
        <v>-483.951615616302</v>
      </c>
      <c r="I61" s="1">
        <f t="shared" si="9"/>
        <v>-43.5335577930964</v>
      </c>
      <c r="K61" s="1">
        <f t="shared" si="10"/>
        <v>55200</v>
      </c>
      <c r="L61" s="1">
        <f t="shared" si="11"/>
        <v>54368.735574666</v>
      </c>
      <c r="M61" s="1">
        <f t="shared" si="12"/>
        <v>53831.761450569</v>
      </c>
      <c r="N61" s="1">
        <f t="shared" si="13"/>
        <v>55063.1939856615</v>
      </c>
    </row>
    <row r="62" spans="2:14">
      <c r="B62" s="3">
        <v>-775</v>
      </c>
      <c r="C62" s="4">
        <v>150.807029834649</v>
      </c>
      <c r="D62" s="4">
        <v>203.346318152709</v>
      </c>
      <c r="E62" s="1">
        <v>638.6149638797</v>
      </c>
      <c r="G62" s="1">
        <f t="shared" si="7"/>
        <v>-925.807029834649</v>
      </c>
      <c r="H62" s="1">
        <f t="shared" si="8"/>
        <v>-978.346318152709</v>
      </c>
      <c r="I62" s="1">
        <f t="shared" si="9"/>
        <v>-1413.6149638797</v>
      </c>
      <c r="K62" s="1">
        <f t="shared" si="10"/>
        <v>54425</v>
      </c>
      <c r="L62" s="1">
        <f t="shared" si="11"/>
        <v>54519.5426045007</v>
      </c>
      <c r="M62" s="1">
        <f t="shared" si="12"/>
        <v>54035.1077687217</v>
      </c>
      <c r="N62" s="1">
        <f t="shared" si="13"/>
        <v>55701.8089495412</v>
      </c>
    </row>
    <row r="63" spans="2:14">
      <c r="B63" s="3">
        <v>825</v>
      </c>
      <c r="C63" s="4">
        <v>1058.95795733748</v>
      </c>
      <c r="D63" s="4">
        <v>1347.1778200331</v>
      </c>
      <c r="E63" s="1">
        <v>981.804841123601</v>
      </c>
      <c r="G63" s="1">
        <f t="shared" si="7"/>
        <v>-233.95795733748</v>
      </c>
      <c r="H63" s="1">
        <f t="shared" si="8"/>
        <v>-522.1778200331</v>
      </c>
      <c r="I63" s="1">
        <f t="shared" si="9"/>
        <v>-156.804841123601</v>
      </c>
      <c r="K63" s="1">
        <f t="shared" si="10"/>
        <v>55250</v>
      </c>
      <c r="L63" s="1">
        <f t="shared" si="11"/>
        <v>55578.5005618382</v>
      </c>
      <c r="M63" s="1">
        <f t="shared" si="12"/>
        <v>55382.2855887548</v>
      </c>
      <c r="N63" s="1">
        <f t="shared" si="13"/>
        <v>56683.6137906648</v>
      </c>
    </row>
    <row r="64" spans="2:14">
      <c r="B64" s="3">
        <v>850</v>
      </c>
      <c r="C64" s="4">
        <v>959.520547487859</v>
      </c>
      <c r="D64" s="4">
        <v>1442.97641990713</v>
      </c>
      <c r="E64" s="1">
        <v>1168.3376247415</v>
      </c>
      <c r="G64" s="1">
        <f t="shared" si="7"/>
        <v>-109.520547487859</v>
      </c>
      <c r="H64" s="1">
        <f t="shared" si="8"/>
        <v>-592.97641990713</v>
      </c>
      <c r="I64" s="1">
        <f t="shared" si="9"/>
        <v>-318.3376247415</v>
      </c>
      <c r="K64" s="1">
        <f t="shared" si="10"/>
        <v>56100</v>
      </c>
      <c r="L64" s="1">
        <f t="shared" si="11"/>
        <v>56538.021109326</v>
      </c>
      <c r="M64" s="1">
        <f t="shared" si="12"/>
        <v>56825.2620086619</v>
      </c>
      <c r="N64" s="1">
        <f t="shared" si="13"/>
        <v>57851.9514154063</v>
      </c>
    </row>
    <row r="65" spans="2:14">
      <c r="B65" s="3">
        <v>-475</v>
      </c>
      <c r="C65" s="4">
        <v>-186.980445810251</v>
      </c>
      <c r="D65" s="4">
        <v>248.713067617048</v>
      </c>
      <c r="E65" s="1">
        <v>264.835822989698</v>
      </c>
      <c r="G65" s="1">
        <f t="shared" si="7"/>
        <v>-288.019554189749</v>
      </c>
      <c r="H65" s="1">
        <f t="shared" si="8"/>
        <v>-723.713067617048</v>
      </c>
      <c r="I65" s="1">
        <f t="shared" si="9"/>
        <v>-739.835822989699</v>
      </c>
      <c r="K65" s="1">
        <f t="shared" si="10"/>
        <v>55625</v>
      </c>
      <c r="L65" s="1">
        <f t="shared" si="11"/>
        <v>56351.0406635158</v>
      </c>
      <c r="M65" s="1">
        <f t="shared" si="12"/>
        <v>57073.975076279</v>
      </c>
      <c r="N65" s="1">
        <f t="shared" si="13"/>
        <v>58116.787238396</v>
      </c>
    </row>
    <row r="66" spans="2:14">
      <c r="B66" s="3">
        <v>375</v>
      </c>
      <c r="C66" s="4">
        <v>456.422741662462</v>
      </c>
      <c r="D66" s="4">
        <v>644.351621570095</v>
      </c>
      <c r="E66" s="1">
        <v>379.810614567505</v>
      </c>
      <c r="G66" s="1">
        <f t="shared" si="7"/>
        <v>-81.422741662462</v>
      </c>
      <c r="H66" s="1">
        <f t="shared" si="8"/>
        <v>-269.351621570095</v>
      </c>
      <c r="I66" s="1">
        <f t="shared" si="9"/>
        <v>-4.81061456750467</v>
      </c>
      <c r="K66" s="1">
        <f t="shared" si="10"/>
        <v>56000</v>
      </c>
      <c r="L66" s="1">
        <f t="shared" si="11"/>
        <v>56807.4634051782</v>
      </c>
      <c r="M66" s="1">
        <f t="shared" si="12"/>
        <v>57718.3266978491</v>
      </c>
      <c r="N66" s="1">
        <f t="shared" si="13"/>
        <v>58496.5978529635</v>
      </c>
    </row>
    <row r="67" spans="2:14">
      <c r="B67" s="3">
        <v>875</v>
      </c>
      <c r="C67" s="4">
        <v>405.757783005469</v>
      </c>
      <c r="D67" s="4">
        <v>638.963807214555</v>
      </c>
      <c r="E67" s="1">
        <v>352.119033198396</v>
      </c>
      <c r="G67" s="1">
        <f t="shared" si="7"/>
        <v>469.242216994531</v>
      </c>
      <c r="H67" s="1">
        <f t="shared" si="8"/>
        <v>236.036192785445</v>
      </c>
      <c r="I67" s="1">
        <f t="shared" si="9"/>
        <v>522.880966801604</v>
      </c>
      <c r="K67" s="1">
        <f t="shared" si="10"/>
        <v>56875</v>
      </c>
      <c r="L67" s="1">
        <f t="shared" si="11"/>
        <v>57213.2211881837</v>
      </c>
      <c r="M67" s="1">
        <f t="shared" si="12"/>
        <v>58357.2905050636</v>
      </c>
      <c r="N67" s="1">
        <f t="shared" si="13"/>
        <v>58848.7168861619</v>
      </c>
    </row>
    <row r="68" spans="2:14">
      <c r="B68" s="3">
        <v>2775</v>
      </c>
      <c r="C68" s="4">
        <v>2006.44386145265</v>
      </c>
      <c r="D68" s="4">
        <v>1607.30705758723</v>
      </c>
      <c r="E68" s="1">
        <v>1028.2965106076</v>
      </c>
      <c r="G68" s="1">
        <f t="shared" si="7"/>
        <v>768.55613854735</v>
      </c>
      <c r="H68" s="1">
        <f t="shared" si="8"/>
        <v>1167.69294241277</v>
      </c>
      <c r="I68" s="1">
        <f t="shared" si="9"/>
        <v>1746.7034893924</v>
      </c>
      <c r="K68" s="1">
        <f t="shared" si="10"/>
        <v>59650</v>
      </c>
      <c r="L68" s="1">
        <f t="shared" si="11"/>
        <v>59219.6650496364</v>
      </c>
      <c r="M68" s="1">
        <f t="shared" si="12"/>
        <v>59964.5975626509</v>
      </c>
      <c r="N68" s="1">
        <f t="shared" si="13"/>
        <v>59877.0133967695</v>
      </c>
    </row>
    <row r="69" spans="2:14">
      <c r="B69" s="3">
        <v>775</v>
      </c>
      <c r="C69" s="4">
        <v>675.801430440634</v>
      </c>
      <c r="D69" s="4">
        <v>895.088520789563</v>
      </c>
      <c r="E69" s="1">
        <v>1229.8241691107</v>
      </c>
      <c r="G69" s="1">
        <f t="shared" si="7"/>
        <v>99.198569559366</v>
      </c>
      <c r="H69" s="1">
        <f t="shared" si="8"/>
        <v>-120.088520789563</v>
      </c>
      <c r="I69" s="1">
        <f t="shared" si="9"/>
        <v>-454.824169110703</v>
      </c>
      <c r="K69" s="1">
        <f t="shared" si="10"/>
        <v>60425</v>
      </c>
      <c r="L69" s="1">
        <f t="shared" si="11"/>
        <v>59895.466480077</v>
      </c>
      <c r="M69" s="1">
        <f t="shared" si="12"/>
        <v>60859.6860834404</v>
      </c>
      <c r="N69" s="1">
        <f t="shared" si="13"/>
        <v>61106.8375658802</v>
      </c>
    </row>
    <row r="70" spans="2:14">
      <c r="B70" s="3">
        <v>1150</v>
      </c>
      <c r="C70" s="4">
        <v>1564.21119050174</v>
      </c>
      <c r="D70" s="4">
        <v>1425.80340294963</v>
      </c>
      <c r="E70" s="1">
        <v>490.785040179799</v>
      </c>
      <c r="G70" s="1">
        <f t="shared" si="7"/>
        <v>-414.21119050174</v>
      </c>
      <c r="H70" s="1">
        <f t="shared" si="8"/>
        <v>-275.80340294963</v>
      </c>
      <c r="I70" s="1">
        <f t="shared" si="9"/>
        <v>659.214959820201</v>
      </c>
      <c r="K70" s="1">
        <f t="shared" si="10"/>
        <v>61575</v>
      </c>
      <c r="L70" s="1">
        <f t="shared" si="11"/>
        <v>61459.6776705787</v>
      </c>
      <c r="M70" s="1">
        <f t="shared" si="12"/>
        <v>62285.48948639</v>
      </c>
      <c r="N70" s="1">
        <f t="shared" si="13"/>
        <v>61597.62260606</v>
      </c>
    </row>
    <row r="71" spans="2:14">
      <c r="B71" s="3">
        <v>1100</v>
      </c>
      <c r="C71" s="4">
        <v>903.151345299789</v>
      </c>
      <c r="D71" s="4">
        <v>317.946312198917</v>
      </c>
      <c r="E71" s="1">
        <v>577.337907105299</v>
      </c>
      <c r="G71" s="1">
        <f t="shared" si="7"/>
        <v>196.848654700211</v>
      </c>
      <c r="H71" s="1">
        <f t="shared" si="8"/>
        <v>782.053687801083</v>
      </c>
      <c r="I71" s="1">
        <f t="shared" si="9"/>
        <v>522.662092894701</v>
      </c>
      <c r="K71" s="1">
        <f t="shared" si="10"/>
        <v>62675</v>
      </c>
      <c r="L71" s="1">
        <f t="shared" si="11"/>
        <v>62362.8290158785</v>
      </c>
      <c r="M71" s="1">
        <f t="shared" si="12"/>
        <v>62603.435798589</v>
      </c>
      <c r="N71" s="1">
        <f t="shared" si="13"/>
        <v>62174.9605131653</v>
      </c>
    </row>
    <row r="72" spans="2:14">
      <c r="B72" s="3">
        <v>975</v>
      </c>
      <c r="C72" s="4">
        <v>1182.37452966059</v>
      </c>
      <c r="D72" s="4">
        <v>1442.97641990713</v>
      </c>
      <c r="E72" s="1">
        <v>1168.3376247415</v>
      </c>
      <c r="G72" s="1">
        <f t="shared" si="7"/>
        <v>-207.37452966059</v>
      </c>
      <c r="H72" s="1">
        <f t="shared" si="8"/>
        <v>-467.97641990713</v>
      </c>
      <c r="I72" s="1">
        <f t="shared" si="9"/>
        <v>-193.3376247415</v>
      </c>
      <c r="K72" s="1">
        <f t="shared" si="10"/>
        <v>63650</v>
      </c>
      <c r="L72" s="1">
        <f t="shared" si="11"/>
        <v>63545.2035455391</v>
      </c>
      <c r="M72" s="1">
        <f t="shared" si="12"/>
        <v>64046.4122184961</v>
      </c>
      <c r="N72" s="1">
        <f t="shared" si="13"/>
        <v>63343.2981379068</v>
      </c>
    </row>
    <row r="73" spans="2:14">
      <c r="B73" s="3">
        <v>700</v>
      </c>
      <c r="C73" s="4">
        <v>847.990453956379</v>
      </c>
      <c r="D73" s="4">
        <v>889.700706434023</v>
      </c>
      <c r="E73" s="1">
        <v>1202.1325877416</v>
      </c>
      <c r="G73" s="1">
        <f t="shared" si="7"/>
        <v>-147.990453956379</v>
      </c>
      <c r="H73" s="1">
        <f t="shared" si="8"/>
        <v>-189.700706434023</v>
      </c>
      <c r="I73" s="1">
        <f t="shared" si="9"/>
        <v>-502.132587741602</v>
      </c>
      <c r="K73" s="1">
        <f t="shared" si="10"/>
        <v>64350</v>
      </c>
      <c r="L73" s="1">
        <f t="shared" si="11"/>
        <v>64393.1939994955</v>
      </c>
      <c r="M73" s="1">
        <f t="shared" si="12"/>
        <v>64936.1129249301</v>
      </c>
      <c r="N73" s="1">
        <f t="shared" si="13"/>
        <v>64545.4307256484</v>
      </c>
    </row>
    <row r="74" spans="2:14">
      <c r="B74" s="3">
        <v>1450</v>
      </c>
      <c r="C74" s="4">
        <v>1452.68109697026</v>
      </c>
      <c r="D74" s="4">
        <v>872.527689476519</v>
      </c>
      <c r="E74" s="1">
        <v>524.580003179995</v>
      </c>
      <c r="G74" s="1">
        <f t="shared" si="7"/>
        <v>-2.68109697025989</v>
      </c>
      <c r="H74" s="1">
        <f t="shared" si="8"/>
        <v>577.472310523481</v>
      </c>
      <c r="I74" s="1">
        <f t="shared" si="9"/>
        <v>925.419996820005</v>
      </c>
      <c r="K74" s="1">
        <f t="shared" si="10"/>
        <v>65800</v>
      </c>
      <c r="L74" s="1">
        <f t="shared" si="11"/>
        <v>65845.8750964658</v>
      </c>
      <c r="M74" s="1">
        <f t="shared" si="12"/>
        <v>65808.6406144066</v>
      </c>
      <c r="N74" s="1">
        <f t="shared" si="13"/>
        <v>65070.0107288284</v>
      </c>
    </row>
    <row r="75" spans="2:14">
      <c r="B75" s="3">
        <v>1600</v>
      </c>
      <c r="C75" s="4">
        <v>1783.58987927991</v>
      </c>
      <c r="D75" s="4">
        <v>1676.5403021691</v>
      </c>
      <c r="E75" s="1">
        <v>1340.7985947231</v>
      </c>
      <c r="G75" s="1">
        <f t="shared" si="7"/>
        <v>-183.58987927991</v>
      </c>
      <c r="H75" s="1">
        <f t="shared" si="8"/>
        <v>-76.5403021691</v>
      </c>
      <c r="I75" s="1">
        <f t="shared" si="9"/>
        <v>259.201405276901</v>
      </c>
      <c r="K75" s="1">
        <f t="shared" si="10"/>
        <v>67400</v>
      </c>
      <c r="L75" s="1">
        <f t="shared" si="11"/>
        <v>67629.4649757457</v>
      </c>
      <c r="M75" s="1">
        <f t="shared" si="12"/>
        <v>67485.1809165757</v>
      </c>
      <c r="N75" s="1">
        <f t="shared" si="13"/>
        <v>66410.8093235515</v>
      </c>
    </row>
    <row r="76" spans="2:14">
      <c r="B76" s="3">
        <v>850</v>
      </c>
      <c r="C76" s="4">
        <v>641.258300419127</v>
      </c>
      <c r="D76" s="4">
        <v>820.467461852154</v>
      </c>
      <c r="E76" s="1">
        <v>889.6305036259</v>
      </c>
      <c r="G76" s="1">
        <f t="shared" si="7"/>
        <v>208.741699580873</v>
      </c>
      <c r="H76" s="1">
        <f t="shared" si="8"/>
        <v>29.532538147846</v>
      </c>
      <c r="I76" s="1">
        <f t="shared" si="9"/>
        <v>-39.6305036259</v>
      </c>
      <c r="K76" s="1">
        <f t="shared" si="10"/>
        <v>68250</v>
      </c>
      <c r="L76" s="1">
        <f t="shared" si="11"/>
        <v>68270.7232761648</v>
      </c>
      <c r="M76" s="1">
        <f t="shared" si="12"/>
        <v>68305.6483784279</v>
      </c>
      <c r="N76" s="1">
        <f t="shared" si="13"/>
        <v>67300.4398271774</v>
      </c>
    </row>
    <row r="77" spans="2:14">
      <c r="B77" s="3">
        <v>700</v>
      </c>
      <c r="C77" s="4">
        <v>679.276723835201</v>
      </c>
      <c r="D77" s="4">
        <v>644.351621570095</v>
      </c>
      <c r="E77" s="1">
        <v>379.810614567599</v>
      </c>
      <c r="G77" s="1">
        <f t="shared" si="7"/>
        <v>20.723276164799</v>
      </c>
      <c r="H77" s="1">
        <f t="shared" si="8"/>
        <v>55.6483784299051</v>
      </c>
      <c r="I77" s="1">
        <f t="shared" si="9"/>
        <v>320.189385432401</v>
      </c>
      <c r="K77" s="1">
        <f t="shared" si="10"/>
        <v>68950</v>
      </c>
      <c r="L77" s="1">
        <f t="shared" si="11"/>
        <v>68950</v>
      </c>
      <c r="M77" s="1">
        <f t="shared" si="12"/>
        <v>68949.999999998</v>
      </c>
      <c r="N77" s="1">
        <f t="shared" si="13"/>
        <v>67680.250441745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60" zoomScaleNormal="160" workbookViewId="0">
      <selection activeCell="D3" sqref="D3"/>
    </sheetView>
  </sheetViews>
  <sheetFormatPr defaultColWidth="9" defaultRowHeight="13.5" outlineLevelRow="3" outlineLevelCol="3"/>
  <cols>
    <col min="1" max="16384" width="9" style="1"/>
  </cols>
  <sheetData>
    <row r="1" spans="2:4">
      <c r="B1" s="2" t="s">
        <v>114</v>
      </c>
      <c r="C1" s="2" t="s">
        <v>115</v>
      </c>
      <c r="D1" s="2" t="s">
        <v>116</v>
      </c>
    </row>
    <row r="2" spans="1:4">
      <c r="A2" s="1" t="s">
        <v>117</v>
      </c>
      <c r="B2" s="1">
        <v>0</v>
      </c>
      <c r="C2" s="1">
        <v>0</v>
      </c>
      <c r="D2" s="1">
        <v>0</v>
      </c>
    </row>
    <row r="3" spans="1:4">
      <c r="A3" s="1" t="s">
        <v>118</v>
      </c>
      <c r="B3" s="1">
        <v>0</v>
      </c>
      <c r="C3" s="1">
        <v>0</v>
      </c>
      <c r="D3" s="1">
        <v>0</v>
      </c>
    </row>
    <row r="4" spans="1:4">
      <c r="A4" s="1" t="s">
        <v>119</v>
      </c>
      <c r="B4" s="1">
        <v>0</v>
      </c>
      <c r="C4" s="1">
        <v>0</v>
      </c>
      <c r="D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模型参数 dlt</vt:lpstr>
      <vt:lpstr>折线对比</vt:lpstr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2025-06-01T19:41:42Z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