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55" windowHeight="9930"/>
  </bookViews>
  <sheets>
    <sheet name="calc" sheetId="1" r:id="rId1"/>
    <sheet name="tm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<sst xmlns="http://schemas.openxmlformats.org/spreadsheetml/2006/main" count="44" uniqueCount="44">
  <si>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权重</t>
  </si>
  <si>
    <t>选卡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</si>
  <si>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</si>
  <si>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</si>
  <si>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</si>
  <si>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</si>
  <si>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</si>
  <si>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</si>
  <si>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</si>
  <si>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</si>
  <si>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</si>
  <si>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</si>
  <si>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</si>
  <si>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</si>
  <si>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</si>
  <si>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</si>
  <si>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</si>
  <si>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</si>
  <si>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</si>
  <si>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</si>
  <si>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</si>
  <si>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[8,10]</t>
  </si>
  <si>
    <t>权重和</t>
  </si>
  <si>
    <t>83FB10E</t>
  </si>
  <si>
    <t>2CAEE909</t>
  </si>
  <si>
    <t>2E0BB1FE</t>
  </si>
  <si>
    <t>33B8E97A</t>
  </si>
  <si>
    <t>3CADE087</t>
  </si>
  <si>
    <t>y</t>
  </si>
  <si>
    <t>46EFA54F</t>
  </si>
  <si>
    <t>48986B3B</t>
  </si>
  <si>
    <t>4F0836C0</t>
  </si>
  <si>
    <t>70B76F87</t>
  </si>
  <si>
    <t>759DD5E7</t>
  </si>
  <si>
    <t>785D02E6</t>
  </si>
  <si>
    <t>7BBFC5A0</t>
  </si>
  <si>
    <t>8299955E</t>
  </si>
  <si>
    <t>946D1B9C</t>
  </si>
  <si>
    <t>995D517C</t>
  </si>
  <si>
    <t>B37063BD</t>
  </si>
  <si>
    <t>BEBBE76D</t>
  </si>
  <si>
    <t>D471A00A</t>
  </si>
  <si>
    <t>D9D41F31</t>
  </si>
  <si>
    <t>F883E66E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</si>
</sst>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10" fillId="7" borderId="11" applyNumberFormat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2" fillId="8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45" zoomScaleNormal="145" workbookViewId="0">
      <pane xSplit="2" topLeftCell="C1" activePane="topRight" state="frozen"/>
      <selection/>
      <selection pane="topRight" activeCell="E6" sqref="E6"/>
    </sheetView>
  </sheetViews>
  <sheetFormatPr defaultColWidth="9" defaultRowHeight="13.5"/>
  <cols>
    <col min="1" max="16384" width="9" style="7"/>
  </cols>
  <sheetData>
    <row r="1" ht="14.25" spans="1:11">
      <c r="A1" s="7" t="s">
        <v>0</v>
      </c>
      <c r="B1" s="7" t="s">
        <v>1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  <c r="J1" s="7">
        <v>8</v>
      </c>
      <c r="K1" s="7">
        <v>9</v>
      </c>
    </row>
    <row r="2" s="1" customFormat="1" spans="1:11">
      <c r="A2" s="1">
        <v>1000</v>
      </c>
      <c r="B2" s="8" t="s">
        <v>2</v>
      </c>
      <c r="C2" s="1"/>
      <c r="D2" s="1"/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</row>
    <row r="3" s="2" customFormat="1" spans="1:11">
      <c r="A3" s="2">
        <v>2000</v>
      </c>
      <c r="B3" s="9" t="s">
        <v>3</v>
      </c>
      <c r="C3" s="2">
        <v>1</v>
      </c>
      <c r="D3" s="2">
        <v>1</v>
      </c>
      <c r="E3" s="2">
        <v>1</v>
      </c>
      <c r="F3" s="2"/>
      <c r="H3" s="2">
        <v>1</v>
      </c>
      <c r="K3" s="2">
        <v>1</v>
      </c>
    </row>
    <row r="4" s="2" customFormat="1" spans="1:11">
      <c r="A4" s="2">
        <v>3000</v>
      </c>
      <c r="B4" s="9" t="s">
        <v>4</v>
      </c>
      <c r="C4" s="2"/>
      <c r="D4" s="2"/>
      <c r="F4" s="2">
        <v>1</v>
      </c>
      <c r="I4" s="2">
        <v>1</v>
      </c>
    </row>
    <row r="5" s="2" customFormat="1" spans="1:11">
      <c r="A5" s="2">
        <v>1000</v>
      </c>
      <c r="B5" s="9" t="s">
        <v>5</v>
      </c>
      <c r="C5" s="2">
        <v>1</v>
      </c>
      <c r="D5" s="2"/>
      <c r="E5" s="2"/>
      <c r="F5" s="2">
        <v>1</v>
      </c>
    </row>
    <row r="6" s="2" customFormat="1" spans="1:11">
      <c r="A6" s="2">
        <v>3500</v>
      </c>
      <c r="B6" s="9" t="s">
        <v>6</v>
      </c>
      <c r="C6" s="2"/>
      <c r="D6" s="2"/>
      <c r="E6" s="2">
        <v>1</v>
      </c>
    </row>
    <row r="7" s="2" customFormat="1" spans="1:11">
      <c r="A7" s="2">
        <v>2000</v>
      </c>
      <c r="B7" s="9" t="s">
        <v>7</v>
      </c>
      <c r="C7" s="2">
        <v>1</v>
      </c>
      <c r="D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</row>
    <row r="8" s="3" customFormat="1" spans="1:11">
      <c r="A8" s="3">
        <v>1000</v>
      </c>
      <c r="B8" s="10" t="s">
        <v>8</v>
      </c>
      <c r="C8" s="3">
        <v>1</v>
      </c>
      <c r="D8" s="3">
        <v>1</v>
      </c>
      <c r="G8" s="3">
        <v>1</v>
      </c>
      <c r="I8" s="3">
        <v>1</v>
      </c>
      <c r="J8" s="3">
        <v>1</v>
      </c>
    </row>
    <row r="9" s="4" customFormat="1" spans="1:11">
      <c r="A9" s="4">
        <v>2000</v>
      </c>
      <c r="B9" s="11" t="s">
        <v>9</v>
      </c>
      <c r="C9" s="4"/>
      <c r="D9" s="4"/>
      <c r="E9" s="4"/>
      <c r="H9" s="4">
        <v>1</v>
      </c>
      <c r="K9" s="4">
        <v>1</v>
      </c>
    </row>
    <row r="10" s="5" customFormat="1" spans="1:11">
      <c r="A10" s="5">
        <v>2000</v>
      </c>
      <c r="B10" s="12" t="s">
        <v>10</v>
      </c>
      <c r="C10" s="5">
        <v>1</v>
      </c>
      <c r="D10" s="5">
        <v>1</v>
      </c>
      <c r="E10" s="5">
        <v>1</v>
      </c>
      <c r="F10" s="5"/>
      <c r="I10" s="5">
        <v>1</v>
      </c>
    </row>
    <row r="11" s="4" customFormat="1" spans="1:11">
      <c r="A11" s="4">
        <v>1500</v>
      </c>
      <c r="B11" s="11" t="s">
        <v>11</v>
      </c>
    </row>
    <row r="12" s="2" customFormat="1" spans="1:11">
      <c r="A12" s="2">
        <v>1000</v>
      </c>
      <c r="B12" s="9" t="s">
        <v>12</v>
      </c>
      <c r="C12" s="2"/>
      <c r="D12" s="2"/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</row>
    <row r="13" s="2" customFormat="1" spans="1:11">
      <c r="A13" s="2">
        <v>2000</v>
      </c>
      <c r="B13" s="9" t="s">
        <v>13</v>
      </c>
      <c r="C13" s="2">
        <v>1</v>
      </c>
      <c r="D13" s="2">
        <v>1</v>
      </c>
      <c r="E13" s="2">
        <v>1</v>
      </c>
      <c r="F13" s="2"/>
      <c r="H13" s="2">
        <v>1</v>
      </c>
      <c r="K13" s="2">
        <v>1</v>
      </c>
    </row>
    <row r="14" s="3" customFormat="1" spans="1:11">
      <c r="A14" s="3">
        <v>1000</v>
      </c>
      <c r="B14" s="10" t="s">
        <v>14</v>
      </c>
      <c r="C14" s="3"/>
      <c r="D14" s="3"/>
      <c r="E14" s="3"/>
      <c r="G14" s="3">
        <v>1</v>
      </c>
      <c r="I14" s="3">
        <v>1</v>
      </c>
      <c r="J14" s="3">
        <v>1</v>
      </c>
    </row>
    <row r="15" s="2" customFormat="1" spans="1:11">
      <c r="A15" s="2">
        <v>1000</v>
      </c>
      <c r="B15" s="9" t="s">
        <v>15</v>
      </c>
      <c r="C15" s="2"/>
      <c r="D15" s="2"/>
      <c r="E15" s="2">
        <v>1</v>
      </c>
      <c r="F15" s="2">
        <v>1</v>
      </c>
      <c r="G15" s="2">
        <v>1</v>
      </c>
      <c r="I15" s="2">
        <v>1</v>
      </c>
      <c r="J15" s="2">
        <v>1</v>
      </c>
    </row>
    <row r="16" s="2" customFormat="1" spans="1:11">
      <c r="A16" s="2">
        <v>1000</v>
      </c>
      <c r="B16" s="9" t="s">
        <v>16</v>
      </c>
      <c r="C16" s="2"/>
      <c r="D16" s="2"/>
      <c r="E16" s="2"/>
      <c r="F16" s="2">
        <v>1</v>
      </c>
      <c r="G16" s="2">
        <v>1</v>
      </c>
      <c r="H16" s="2">
        <v>1</v>
      </c>
      <c r="J16" s="2">
        <v>1</v>
      </c>
      <c r="K16" s="2">
        <v>1</v>
      </c>
    </row>
    <row r="17" s="2" customFormat="1" spans="1:12">
      <c r="A17" s="2">
        <v>1000</v>
      </c>
      <c r="B17" s="9" t="s">
        <v>17</v>
      </c>
      <c r="C17" s="2"/>
      <c r="D17" s="2"/>
      <c r="E17" s="2">
        <v>1</v>
      </c>
      <c r="F17" s="2">
        <v>1</v>
      </c>
      <c r="H17" s="2">
        <v>1</v>
      </c>
      <c r="K17" s="2">
        <v>1</v>
      </c>
    </row>
    <row r="18" s="2" customFormat="1" spans="1:12">
      <c r="A18" s="2">
        <v>1500</v>
      </c>
      <c r="B18" s="9" t="s">
        <v>18</v>
      </c>
      <c r="C18" s="2"/>
      <c r="D18" s="2"/>
      <c r="E18" s="2">
        <v>1</v>
      </c>
    </row>
    <row r="19" s="2" customFormat="1" spans="1:12">
      <c r="A19" s="2">
        <v>1500</v>
      </c>
      <c r="B19" s="9" t="s">
        <v>19</v>
      </c>
      <c r="C19" s="2">
        <v>1</v>
      </c>
      <c r="D19" s="2">
        <v>1</v>
      </c>
      <c r="E19" s="2">
        <v>1</v>
      </c>
      <c r="F19" s="2"/>
      <c r="G19" s="2">
        <v>1</v>
      </c>
      <c r="J19" s="2">
        <v>1</v>
      </c>
    </row>
    <row r="20" s="6" customFormat="1" ht="14.25" spans="1:12">
      <c r="A20" s="6">
        <v>1000</v>
      </c>
      <c r="B20" s="13" t="s">
        <v>20</v>
      </c>
      <c r="C20" s="6">
        <v>1</v>
      </c>
      <c r="D20" s="6">
        <v>1</v>
      </c>
      <c r="E20" s="6">
        <v>1</v>
      </c>
      <c r="F20" s="6"/>
      <c r="I20" s="6">
        <v>1</v>
      </c>
    </row>
    <row r="21" spans="1:12">
      <c r="C21" s="7">
        <f>SUM(C2+2*C3+4*C4+8*C5+16*C6+32*C7+64*C8+128*C9+256*C10+512*C11+1024*C12+2048*C13+4096*C14+8192*C15+16384*C16+32768*C17+65536*C18+131072*C19+262144*C20)</f>
        <v>395626</v>
      </c>
      <c r="D21" s="7">
        <f>SUM(D2+2*D3+4*D4+8*D5+16*D6+32*D7+64*D8+128*D9+256*D10+512*D11+1024*D12+2048*D13+4096*D14+8192*D15+16384*D16+32768*D17+65536*D18+131072*D19+262144*D20)</f>
        <v>395618</v>
      </c>
      <c r="E21" s="7">
        <f t="shared" ref="D21:L21" si="0">SUM(E2+2*E3+4*E4+8*E5+16*E6+32*E7+64*E8+128*E9+256*E10+512*E11+1024*E12+2048*E13+4096*E14+8192*E15+16384*E16+32768*E17+65536*E18+131072*E19+262144*E20)</f>
        <v>502035</v>
      </c>
      <c r="F21" s="7">
        <f t="shared" si="0"/>
        <v>58413</v>
      </c>
      <c r="G21" s="7">
        <f t="shared" si="0"/>
        <v>160865</v>
      </c>
      <c r="H21" s="7">
        <f t="shared" si="0"/>
        <v>52387</v>
      </c>
      <c r="I21" s="7">
        <f t="shared" si="0"/>
        <v>275813</v>
      </c>
      <c r="J21" s="7">
        <f t="shared" si="0"/>
        <v>160865</v>
      </c>
      <c r="K21" s="7">
        <f t="shared" si="0"/>
        <v>52387</v>
      </c>
      <c r="L21" s="7">
        <f t="shared" si="0"/>
        <v>0</v>
      </c>
    </row>
    <row r="22" spans="1:12">
      <c r="B22" s="7" t="s">
        <v>21</v>
      </c>
      <c r="C22" s="7">
        <f>SUM(C2:C20)</f>
        <v>8</v>
      </c>
      <c r="D22" s="7">
        <f t="shared" ref="D22:L22" si="1">SUM(D2:D20)</f>
        <v>7</v>
      </c>
      <c r="E22" s="7">
        <f t="shared" si="1"/>
        <v>10</v>
      </c>
      <c r="F22" s="7">
        <f t="shared" si="1"/>
        <v>8</v>
      </c>
      <c r="G22" s="7">
        <f t="shared" si="1"/>
        <v>8</v>
      </c>
      <c r="H22" s="7">
        <f t="shared" si="1"/>
        <v>8</v>
      </c>
      <c r="I22" s="7">
        <f t="shared" si="1"/>
        <v>9</v>
      </c>
      <c r="J22" s="7">
        <f t="shared" si="1"/>
        <v>8</v>
      </c>
      <c r="K22" s="7">
        <f t="shared" si="1"/>
        <v>8</v>
      </c>
      <c r="L22" s="7">
        <f t="shared" si="1"/>
        <v>0</v>
      </c>
    </row>
    <row r="23" spans="1:12">
      <c r="B23" s="7" t="s">
        <v>22</v>
      </c>
      <c r="C23" s="7">
        <f t="array" ref="C23">SUM(A2:A20*C2:C20)+401-A16*C16</f>
        <v>12901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F7" sqref="F7"/>
    </sheetView>
  </sheetViews>
  <sheetFormatPr defaultColWidth="9" defaultRowHeight="13.5" outlineLevelCol="2"/>
  <cols>
    <col min="2" max="2" width="9.375" customWidth="1"/>
  </cols>
  <sheetData>
    <row r="1" spans="1:3">
      <c r="B1">
        <v>0</v>
      </c>
    </row>
    <row r="2" spans="1:3">
      <c r="A2">
        <v>0</v>
      </c>
      <c r="B2" t="s">
        <v>23</v>
      </c>
    </row>
    <row r="3" spans="1:3">
      <c r="A3">
        <v>1</v>
      </c>
      <c r="B3" t="s">
        <v>24</v>
      </c>
    </row>
    <row r="4" spans="1:3">
      <c r="A4">
        <v>2</v>
      </c>
      <c r="B4" t="s">
        <v>25</v>
      </c>
    </row>
    <row r="5" spans="1:3">
      <c r="A5">
        <v>3</v>
      </c>
      <c r="B5" t="s">
        <v>26</v>
      </c>
    </row>
    <row r="6" spans="1:3">
      <c r="A6">
        <v>4</v>
      </c>
      <c r="B6" t="s">
        <v>27</v>
      </c>
      <c r="C6" t="s">
        <v>28</v>
      </c>
    </row>
    <row r="7" spans="1:3">
      <c r="A7">
        <v>5</v>
      </c>
      <c r="B7" t="s">
        <v>29</v>
      </c>
    </row>
    <row r="8" spans="1:3">
      <c r="A8">
        <v>6</v>
      </c>
      <c r="B8" t="s">
        <v>30</v>
      </c>
    </row>
    <row r="9" spans="1:3">
      <c r="A9">
        <v>7</v>
      </c>
      <c r="B9" t="s">
        <v>31</v>
      </c>
    </row>
    <row r="10" spans="1:3">
      <c r="A10">
        <v>8</v>
      </c>
      <c r="B10" t="s">
        <v>32</v>
      </c>
    </row>
    <row r="11" spans="1:3">
      <c r="A11">
        <v>9</v>
      </c>
      <c r="B11" t="s">
        <v>33</v>
      </c>
    </row>
    <row r="12" spans="1:3">
      <c r="A12">
        <v>10</v>
      </c>
      <c r="B12" t="s">
        <v>34</v>
      </c>
    </row>
    <row r="13" spans="1:3">
      <c r="A13">
        <v>11</v>
      </c>
      <c r="B13" t="s">
        <v>35</v>
      </c>
    </row>
    <row r="14" spans="1:3">
      <c r="A14">
        <v>12</v>
      </c>
      <c r="B14" t="s">
        <v>36</v>
      </c>
    </row>
    <row r="15" spans="1:3">
      <c r="A15">
        <v>13</v>
      </c>
      <c r="B15" t="s">
        <v>37</v>
      </c>
    </row>
    <row r="16" spans="1:3">
      <c r="A16">
        <v>14</v>
      </c>
      <c r="B16" t="s">
        <v>38</v>
      </c>
    </row>
    <row r="17" spans="1:2">
      <c r="A17">
        <v>15</v>
      </c>
      <c r="B17" t="s">
        <v>39</v>
      </c>
    </row>
    <row r="18" spans="1:2">
      <c r="A18">
        <v>16</v>
      </c>
      <c r="B18" t="s">
        <v>40</v>
      </c>
    </row>
    <row r="19" spans="1:2">
      <c r="A19">
        <v>17</v>
      </c>
      <c r="B19" t="s">
        <v>41</v>
      </c>
    </row>
    <row r="20" spans="1:2">
      <c r="A20">
        <v>18</v>
      </c>
      <c r="B20" t="s">
        <v>42</v>
      </c>
    </row>
    <row r="21" spans="1:2">
      <c r="A21">
        <v>19</v>
      </c>
      <c r="B2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calc</vt:lpstr>
      <vt:lpstr>tmp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2024-12-28T07:34:00Z</dcterms:created>
  <dcterms:modified xsi:type="dcterms:W3CDTF">2026-01-24T08:03:33Z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AB8EF7F74971468389CAC35F6FF79D2C_12</vt:lpwstr>
  </property>
  <property fmtid="{D5CDD505-2E9C-101B-9397-08002B2CF9AE}" pid="3" name="KSOProductBuildVer">
    <vt:lpwstr>2052-12.1.0.23542</vt:lpwstr>
  </property>
</Properties>
</file>